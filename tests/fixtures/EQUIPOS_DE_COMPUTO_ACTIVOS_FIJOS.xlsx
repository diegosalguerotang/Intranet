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Hoja1" sheetId="1" r:id="rId4"/>
    <sheet state="visible" name="AF EQUIPO DE COMPUTO" sheetId="2" r:id="rId5"/>
    <sheet state="hidden" name="F 7.2 Det bs AF Revaluad" sheetId="3" r:id="rId6"/>
    <sheet state="hidden" name="Aux.Uni" sheetId="4" r:id="rId7"/>
    <sheet state="hidden" name="Hoja7" sheetId="5" r:id="rId8"/>
    <sheet state="hidden" name="Hoja6" sheetId="6" r:id="rId9"/>
    <sheet state="hidden" name="Hoja4" sheetId="7" r:id="rId10"/>
    <sheet state="hidden" name="Hoja5" sheetId="8" r:id="rId11"/>
    <sheet state="hidden" name="Hoja8" sheetId="9" r:id="rId12"/>
    <sheet state="hidden" name="Hoja9" sheetId="10" r:id="rId13"/>
    <sheet state="hidden" name="Hoja2" sheetId="11" r:id="rId14"/>
    <sheet state="hidden" name="Aux.Val" sheetId="12" r:id="rId15"/>
  </sheets>
  <externalReferences>
    <externalReference r:id="rId16"/>
  </externalReferences>
  <definedNames>
    <definedName name="VENCII">'[1]CRONOGRAMA'!$C$83:$D$452</definedName>
    <definedName hidden="1" localSheetId="1" name="_xlnm._FilterDatabase">'AF EQUIPO DE COMPUTO'!$B$7:$AA$92</definedName>
  </definedNames>
  <calcPr/>
  <extLst>
    <ext uri="GoogleSheetsCustomDataVersion2">
      <go:sheetsCustomData xmlns:go="http://customooxmlschemas.google.com/" r:id="rId17" roundtripDataChecksum="o6nFiDlv0sfszCIbASSePyMWrn6IZZWIuFMJ5EcAyB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7">
      <text>
        <t xml:space="preserve">======
ID#AAAB_YQDx2M
ASANABRIA    (2026-07-07 19:27:09)
COLOCAR IMPORTE DEL ACTIVO QUE SE DETALLA</t>
      </text>
    </comment>
  </commentList>
  <extLst>
    <ext uri="GoogleSheetsCustomDataVersion2">
      <go:sheetsCustomData xmlns:go="http://customooxmlschemas.google.com/" r:id="rId1" roundtripDataSignature="AMtx7miSjhSocSJpY0lJTg0bHC5qJqzCiw=="/>
    </ext>
  </extLst>
</comments>
</file>

<file path=xl/sharedStrings.xml><?xml version="1.0" encoding="utf-8"?>
<sst xmlns="http://schemas.openxmlformats.org/spreadsheetml/2006/main" count="777" uniqueCount="441">
  <si>
    <t xml:space="preserve">ANEXO N° 3.1: MODELO DE REGISTRO  AUXILIAR DE  INVENTARIO  PERMANENTE  EN UNIDADES </t>
  </si>
  <si>
    <t>FORMATO 7.1: "REGISTRO DE ACTIVOS FIJOS - DETALLE DE LOS ACTIVOS FIJOS"</t>
  </si>
  <si>
    <t>FORMATO 7.2: "REGISTRO DE ACTIVOS FIJOS - DETALLE DE LOS ACTIVOS FIJOS REVALUADOS"</t>
  </si>
  <si>
    <t>PERÍODO:</t>
  </si>
  <si>
    <t>RUC:</t>
  </si>
  <si>
    <t>APELLIDOS Y NOMBRES, DENOMINACIÓN O RAZÓN SOCIAL:</t>
  </si>
  <si>
    <t xml:space="preserve"> DENOMINACIÓN O RAZÓN SOCIAL:</t>
  </si>
  <si>
    <t>PROMANT SERVICIOS SOCIEDAD COMERCIAL DE RESPONSABILIDAD LIMITADA</t>
  </si>
  <si>
    <r>
      <rPr>
        <rFont val="Arial"/>
        <b/>
        <color theme="1"/>
        <sz val="9.0"/>
      </rPr>
      <t>Nombre, denominación o razón social del deudor tributario :</t>
    </r>
    <r>
      <rPr>
        <rFont val="Arial"/>
        <b val="0"/>
        <color theme="1"/>
        <sz val="9.0"/>
      </rPr>
      <t xml:space="preserve"> Distribuidora El Buen Calzado S.A.</t>
    </r>
  </si>
  <si>
    <t>USUARIO</t>
  </si>
  <si>
    <t xml:space="preserve">       CÓDIGO</t>
  </si>
  <si>
    <t xml:space="preserve">     CUENTA</t>
  </si>
  <si>
    <t xml:space="preserve">                                 DETALLE DEL ACTIVO FIJO</t>
  </si>
  <si>
    <t xml:space="preserve">        VALOR</t>
  </si>
  <si>
    <t xml:space="preserve">             VALOR DE LA REVALUACIÓN EFECTUADA</t>
  </si>
  <si>
    <r>
      <rPr>
        <rFont val="Arial"/>
        <b/>
        <color theme="1"/>
        <sz val="9.0"/>
      </rPr>
      <t>Denominación del registro :</t>
    </r>
    <r>
      <rPr>
        <rFont val="Arial"/>
        <b val="0"/>
        <color theme="1"/>
        <sz val="9.0"/>
      </rPr>
      <t xml:space="preserve">  Registro Auxiliar de Inventario Permanente en Unidades </t>
    </r>
  </si>
  <si>
    <t xml:space="preserve">              DEPRECIACIÓN</t>
  </si>
  <si>
    <t xml:space="preserve">     DEPRECIACIÓN</t>
  </si>
  <si>
    <t xml:space="preserve">        DEPRECIACIÓN</t>
  </si>
  <si>
    <t>DEPRECIACIÓN</t>
  </si>
  <si>
    <t xml:space="preserve">  DEPRECIACIÓN  </t>
  </si>
  <si>
    <t xml:space="preserve"> FECHA DE INICIO </t>
  </si>
  <si>
    <t xml:space="preserve">    AJUSTE POR</t>
  </si>
  <si>
    <r>
      <rPr>
        <rFont val="Arial"/>
        <b/>
        <color theme="1"/>
        <sz val="9.0"/>
      </rPr>
      <t>Mes :</t>
    </r>
    <r>
      <rPr>
        <rFont val="Arial"/>
        <b val="0"/>
        <color theme="1"/>
        <sz val="9.0"/>
      </rPr>
      <t xml:space="preserve"> Abril</t>
    </r>
  </si>
  <si>
    <t xml:space="preserve">   RELACIONADO </t>
  </si>
  <si>
    <t xml:space="preserve">                      VALOR DE LA DEPRECIACIÓN</t>
  </si>
  <si>
    <r>
      <rPr>
        <rFont val="Arial"/>
        <b/>
        <color theme="1"/>
        <sz val="9.0"/>
      </rPr>
      <t>Ejercicio:</t>
    </r>
    <r>
      <rPr>
        <rFont val="Arial"/>
        <b val="0"/>
        <color theme="1"/>
        <sz val="9.0"/>
      </rPr>
      <t xml:space="preserve"> 2001</t>
    </r>
  </si>
  <si>
    <t xml:space="preserve">     MARCA</t>
  </si>
  <si>
    <t xml:space="preserve">    MODELO</t>
  </si>
  <si>
    <t xml:space="preserve"> VALOR DE LA DEPRECIACIÓN DE LA REVALUACIÓN EFECTUADA</t>
  </si>
  <si>
    <t xml:space="preserve"> NÚMERO DE SERIE</t>
  </si>
  <si>
    <t>USUARIO ANTERIOR</t>
  </si>
  <si>
    <t xml:space="preserve">   DEPRECIACIÓN</t>
  </si>
  <si>
    <t xml:space="preserve">     ADQUISICIONES</t>
  </si>
  <si>
    <r>
      <rPr>
        <rFont val="Arial"/>
        <b/>
        <color theme="1"/>
        <sz val="9.0"/>
      </rPr>
      <t>Tipo de existencia :</t>
    </r>
    <r>
      <rPr>
        <rFont val="Arial"/>
        <b val="0"/>
        <color theme="1"/>
        <sz val="9.0"/>
      </rPr>
      <t xml:space="preserve"> Mercaderías</t>
    </r>
  </si>
  <si>
    <r>
      <rPr>
        <rFont val="Arial"/>
        <b/>
        <color theme="1"/>
        <sz val="9.0"/>
      </rPr>
      <t>Código:</t>
    </r>
    <r>
      <rPr>
        <rFont val="Arial"/>
        <b val="0"/>
        <color theme="1"/>
        <sz val="9.0"/>
      </rPr>
      <t xml:space="preserve"> A116</t>
    </r>
  </si>
  <si>
    <t xml:space="preserve">  MEJORAS</t>
  </si>
  <si>
    <t xml:space="preserve">  CONTABLE </t>
  </si>
  <si>
    <t xml:space="preserve">    RETIROS</t>
  </si>
  <si>
    <t xml:space="preserve">        OTROS</t>
  </si>
  <si>
    <t>NÚMERO DE SERIE</t>
  </si>
  <si>
    <t xml:space="preserve">       SALDO</t>
  </si>
  <si>
    <t xml:space="preserve">   MEJORAS</t>
  </si>
  <si>
    <t xml:space="preserve">     HISTÓRICO </t>
  </si>
  <si>
    <t>AJUSTE POR</t>
  </si>
  <si>
    <t xml:space="preserve">     AJUSTADO</t>
  </si>
  <si>
    <t xml:space="preserve">   MÉTODO</t>
  </si>
  <si>
    <t xml:space="preserve">   N° DE DOCUMENTO</t>
  </si>
  <si>
    <t xml:space="preserve">   PORCENTAJE</t>
  </si>
  <si>
    <t xml:space="preserve">          POR</t>
  </si>
  <si>
    <t xml:space="preserve">     ACUMULADA AL</t>
  </si>
  <si>
    <t xml:space="preserve">   DEPRECIACIÓN </t>
  </si>
  <si>
    <t xml:space="preserve">        DEL EJERCICIO </t>
  </si>
  <si>
    <t xml:space="preserve"> RELACIONADA </t>
  </si>
  <si>
    <t xml:space="preserve">    ACUMULADA</t>
  </si>
  <si>
    <t xml:space="preserve">      INFLACIÓN</t>
  </si>
  <si>
    <r>
      <rPr>
        <rFont val="Arial"/>
        <b/>
        <color theme="1"/>
        <sz val="9.0"/>
      </rPr>
      <t>Descripción:</t>
    </r>
    <r>
      <rPr>
        <rFont val="Arial"/>
        <b val="0"/>
        <color theme="1"/>
        <sz val="9.0"/>
      </rPr>
      <t xml:space="preserve">  Zapatillas marca Sport - talla 41</t>
    </r>
  </si>
  <si>
    <t xml:space="preserve">   FECHA DE</t>
  </si>
  <si>
    <t xml:space="preserve">         DEL USO</t>
  </si>
  <si>
    <t>OBSERVACIONES</t>
  </si>
  <si>
    <t xml:space="preserve"> MÉTODO</t>
  </si>
  <si>
    <t>N° DE DOCUMENTO</t>
  </si>
  <si>
    <r>
      <rPr>
        <rFont val="Arial"/>
        <b/>
        <color theme="1"/>
        <sz val="9.0"/>
      </rPr>
      <t>Unidad de Medida :</t>
    </r>
    <r>
      <rPr>
        <rFont val="Arial"/>
        <b val="0"/>
        <color theme="1"/>
        <sz val="9.0"/>
      </rPr>
      <t xml:space="preserve"> Docena</t>
    </r>
  </si>
  <si>
    <t xml:space="preserve">     ACUMULADA </t>
  </si>
  <si>
    <t>DEL EJERCICIO</t>
  </si>
  <si>
    <t xml:space="preserve">   RELACIONADA</t>
  </si>
  <si>
    <t xml:space="preserve">    RELACIONADA</t>
  </si>
  <si>
    <t xml:space="preserve">         CON EL</t>
  </si>
  <si>
    <t xml:space="preserve">    DESCRIPCIÓN</t>
  </si>
  <si>
    <t xml:space="preserve">         DEL</t>
  </si>
  <si>
    <t xml:space="preserve">     Y/O PLACA DEL</t>
  </si>
  <si>
    <t xml:space="preserve">     ACUMULADA</t>
  </si>
  <si>
    <t xml:space="preserve">  DESCRIPCIÓN</t>
  </si>
  <si>
    <t xml:space="preserve">        ADICIONES</t>
  </si>
  <si>
    <t xml:space="preserve">  Y/O PLACA DEL</t>
  </si>
  <si>
    <t xml:space="preserve">        INICIAL</t>
  </si>
  <si>
    <t xml:space="preserve">        Y/O</t>
  </si>
  <si>
    <t>COMPROBANTE DE PAGO</t>
  </si>
  <si>
    <t xml:space="preserve">      AJUSTES</t>
  </si>
  <si>
    <t xml:space="preserve"> DEL ACTIVO FIJO</t>
  </si>
  <si>
    <t xml:space="preserve">  INFLACIÓN</t>
  </si>
  <si>
    <t xml:space="preserve">  APLICADO</t>
  </si>
  <si>
    <t xml:space="preserve"> VOLUNTARIA</t>
  </si>
  <si>
    <t xml:space="preserve">            DE</t>
  </si>
  <si>
    <t xml:space="preserve"> REORGANIZACIÓN</t>
  </si>
  <si>
    <t xml:space="preserve">     AL CIERRE DEL</t>
  </si>
  <si>
    <t xml:space="preserve">   DEL EJERCICIO</t>
  </si>
  <si>
    <t xml:space="preserve">      OTROS</t>
  </si>
  <si>
    <t xml:space="preserve"> ADQUISICIÓN</t>
  </si>
  <si>
    <t xml:space="preserve"> APLICADO</t>
  </si>
  <si>
    <t xml:space="preserve"> RELACIONADA CON  LOS</t>
  </si>
  <si>
    <t xml:space="preserve">   CON OTROS</t>
  </si>
  <si>
    <t xml:space="preserve">     HISTÓRICA</t>
  </si>
  <si>
    <t>GUÍA DE REMISIÓN</t>
  </si>
  <si>
    <t xml:space="preserve">          DE LA</t>
  </si>
  <si>
    <t>SIN CONSIDERAR</t>
  </si>
  <si>
    <t xml:space="preserve"> CON LOS RETIROS</t>
  </si>
  <si>
    <t>TIENE Y CAMBIOS:</t>
  </si>
  <si>
    <t>VOLUNTARIA</t>
  </si>
  <si>
    <t xml:space="preserve">SALDO  INICIAL </t>
  </si>
  <si>
    <t xml:space="preserve">                  OTROS</t>
  </si>
  <si>
    <t xml:space="preserve">  AJUSTADA POR</t>
  </si>
  <si>
    <t xml:space="preserve">ENTRADAS </t>
  </si>
  <si>
    <t xml:space="preserve">    ACTIVO FIJO</t>
  </si>
  <si>
    <t>RRHH</t>
  </si>
  <si>
    <t xml:space="preserve"> ACTIVO FIJO</t>
  </si>
  <si>
    <t xml:space="preserve">SALIDAS </t>
  </si>
  <si>
    <t>SALDO  FINAL</t>
  </si>
  <si>
    <t xml:space="preserve">     ACTIVO FIJO</t>
  </si>
  <si>
    <t xml:space="preserve">     BAJAS</t>
  </si>
  <si>
    <t xml:space="preserve">       ACTIVO FIJO</t>
  </si>
  <si>
    <t>FECHA</t>
  </si>
  <si>
    <t xml:space="preserve">  DE SOCIEDADES</t>
  </si>
  <si>
    <t xml:space="preserve">        AL 31.12</t>
  </si>
  <si>
    <r>
      <rPr>
        <rFont val="Arial"/>
        <color theme="1"/>
        <sz val="8.0"/>
      </rPr>
      <t xml:space="preserve">TIPO </t>
    </r>
    <r>
      <rPr>
        <rFont val="Arial"/>
        <color theme="1"/>
        <sz val="10.0"/>
        <vertAlign val="superscript"/>
      </rPr>
      <t>b</t>
    </r>
  </si>
  <si>
    <t>Nº</t>
  </si>
  <si>
    <r>
      <rPr>
        <rFont val="Arial"/>
        <color theme="1"/>
        <sz val="8.0"/>
      </rPr>
      <t xml:space="preserve">TIPO </t>
    </r>
    <r>
      <rPr>
        <rFont val="Arial"/>
        <color theme="1"/>
        <sz val="10.0"/>
        <vertAlign val="superscript"/>
      </rPr>
      <t>c</t>
    </r>
  </si>
  <si>
    <t xml:space="preserve">    AUTORIZACIÓN</t>
  </si>
  <si>
    <t xml:space="preserve">  DEPRECIACIÓN</t>
  </si>
  <si>
    <t xml:space="preserve">CANTIDAD </t>
  </si>
  <si>
    <t>EJERCICIO ANTERIOR</t>
  </si>
  <si>
    <t xml:space="preserve">  AUTORIZACIÓN</t>
  </si>
  <si>
    <t xml:space="preserve">    RETIROS Y/O BAJAS</t>
  </si>
  <si>
    <t xml:space="preserve">     AJUSTES</t>
  </si>
  <si>
    <r>
      <rPr>
        <rFont val="Arial"/>
        <color theme="1"/>
        <sz val="8.0"/>
      </rPr>
      <t xml:space="preserve">TIPO </t>
    </r>
    <r>
      <rPr>
        <rFont val="Arial"/>
        <color theme="1"/>
        <sz val="10.0"/>
        <vertAlign val="superscript"/>
      </rPr>
      <t>a</t>
    </r>
  </si>
  <si>
    <t>LA REVALUACIÓN</t>
  </si>
  <si>
    <t xml:space="preserve">    Y/O BAJAS</t>
  </si>
  <si>
    <t>CANTIDAD</t>
  </si>
  <si>
    <r>
      <rPr>
        <rFont val="Arial"/>
        <color theme="1"/>
        <sz val="8.0"/>
      </rPr>
      <t xml:space="preserve">TIPO </t>
    </r>
    <r>
      <rPr>
        <rFont val="Arial"/>
        <color theme="1"/>
        <sz val="10.0"/>
        <vertAlign val="superscript"/>
      </rPr>
      <t>a</t>
    </r>
  </si>
  <si>
    <t>MAITHE ESPINOZA</t>
  </si>
  <si>
    <t>PROLT01</t>
  </si>
  <si>
    <t>001-5036</t>
  </si>
  <si>
    <t>LAPTOP</t>
  </si>
  <si>
    <t>LENOVO</t>
  </si>
  <si>
    <t>LENOVO/LNVNB161216</t>
  </si>
  <si>
    <t>001-3698</t>
  </si>
  <si>
    <t>MARCO OLIDEN</t>
  </si>
  <si>
    <t>PROPC03</t>
  </si>
  <si>
    <t>PC</t>
  </si>
  <si>
    <t>MONITOR AOC</t>
  </si>
  <si>
    <t>GIGABYTE TECHNOLOGY CO.</t>
  </si>
  <si>
    <t>ELIZABETH OLIVOS</t>
  </si>
  <si>
    <t>DISCO SOLIDO</t>
  </si>
  <si>
    <t>ANA ROSA CARRASCO</t>
  </si>
  <si>
    <t>PROPC02</t>
  </si>
  <si>
    <t>SHIRLEY FERNANDEZ</t>
  </si>
  <si>
    <t>PROLT05</t>
  </si>
  <si>
    <t>80XH</t>
  </si>
  <si>
    <t>INTEL CORE I3</t>
  </si>
  <si>
    <t>GERMAN BOTTGER</t>
  </si>
  <si>
    <t>002-8559</t>
  </si>
  <si>
    <t>COOLER</t>
  </si>
  <si>
    <t>LUIS IPARRAGUIRRE</t>
  </si>
  <si>
    <t>001-2145</t>
  </si>
  <si>
    <t>PROLT04</t>
  </si>
  <si>
    <t>81VV</t>
  </si>
  <si>
    <t>LNVNB161216</t>
  </si>
  <si>
    <t>MAITHE,LUIS REYES B,GERMAN,MAYLEN</t>
  </si>
  <si>
    <t>COOLER / SE CAMBIO PANTALLA 16/03/2026</t>
  </si>
  <si>
    <t>DAIRA VARGAS</t>
  </si>
  <si>
    <t>PROLT07</t>
  </si>
  <si>
    <t>80XL</t>
  </si>
  <si>
    <t>LUIS OLORTEGUI</t>
  </si>
  <si>
    <t>LUZ  DEL CARMEN ALLCCACO</t>
  </si>
  <si>
    <t>PROPC08</t>
  </si>
  <si>
    <t>HP</t>
  </si>
  <si>
    <t xml:space="preserve"> JHOSEP CHAVEZ</t>
  </si>
  <si>
    <t>PROLT09</t>
  </si>
  <si>
    <t xml:space="preserve">      TOTALES</t>
  </si>
  <si>
    <t xml:space="preserve">MONITOR  </t>
  </si>
  <si>
    <t>TO BE FILLED BY O.E.M</t>
  </si>
  <si>
    <t>CPU ANTIGUO DISCO SOLIDO</t>
  </si>
  <si>
    <t>FABRIZZIO SANCHEZ</t>
  </si>
  <si>
    <t>PROPC10</t>
  </si>
  <si>
    <t>MONITOR LG</t>
  </si>
  <si>
    <t>ASUSTEK COMPUTER INC.</t>
  </si>
  <si>
    <t>STOCK</t>
  </si>
  <si>
    <t>FABRIZZIO NUEVA</t>
  </si>
  <si>
    <t>PROLT51</t>
  </si>
  <si>
    <t>82XQ</t>
  </si>
  <si>
    <t>AMD RYZEN</t>
  </si>
  <si>
    <t>NUEVO 02/2026</t>
  </si>
  <si>
    <t>JEAN RODRIGUEZ</t>
  </si>
  <si>
    <t>PROLT06</t>
  </si>
  <si>
    <t>PROBOOK 4440S</t>
  </si>
  <si>
    <t>INTEL</t>
  </si>
  <si>
    <t>JUAN CAZANOVA</t>
  </si>
  <si>
    <t>LAPTOP ANTIGUA</t>
  </si>
  <si>
    <t>LOGISTICA</t>
  </si>
  <si>
    <t>TOTALES</t>
  </si>
  <si>
    <t>ANIBAL MAYTA</t>
  </si>
  <si>
    <t>PROLT13</t>
  </si>
  <si>
    <t>HP 2000</t>
  </si>
  <si>
    <t>HEWLETT-PACKARD</t>
  </si>
  <si>
    <t>LAPTOP ANTIGUA DISCO SOLIDO</t>
  </si>
  <si>
    <t>Leyenda:</t>
  </si>
  <si>
    <t>IVAN AIRE</t>
  </si>
  <si>
    <t>PROPC14</t>
  </si>
  <si>
    <t>MONITOR BENQ</t>
  </si>
  <si>
    <t>JUAN CARLOS GARCIA</t>
  </si>
  <si>
    <t>PROPC15</t>
  </si>
  <si>
    <t>MONITOR SAMSUNG</t>
  </si>
  <si>
    <t>GA-78LMT-S2</t>
  </si>
  <si>
    <t>AMD ATHLON</t>
  </si>
  <si>
    <t>a) TIPO DE OPERACIÓN:</t>
  </si>
  <si>
    <t>b) TIPO DE COMPROBANTE DE PAGO:</t>
  </si>
  <si>
    <t>JEAN PAUL CONSULTOR</t>
  </si>
  <si>
    <t>PROLT16</t>
  </si>
  <si>
    <t>82LM</t>
  </si>
  <si>
    <t>Venta</t>
  </si>
  <si>
    <t>Donación</t>
  </si>
  <si>
    <t>ARTURO MAYTA</t>
  </si>
  <si>
    <t>PROLT17</t>
  </si>
  <si>
    <t>1 Factura</t>
  </si>
  <si>
    <t>DELL</t>
  </si>
  <si>
    <t>INSPIRON 153520</t>
  </si>
  <si>
    <t>12TH GEN INTEL</t>
  </si>
  <si>
    <t>LAPTOP NUEVA ANA PAULA MAYTA 2025</t>
  </si>
  <si>
    <t>Compra</t>
  </si>
  <si>
    <t>Otros (Especificar)</t>
  </si>
  <si>
    <t>2 Boleta de Venta</t>
  </si>
  <si>
    <t>Consignación</t>
  </si>
  <si>
    <t>3 Ticket</t>
  </si>
  <si>
    <t>Devolución</t>
  </si>
  <si>
    <t>OPERACIONES</t>
  </si>
  <si>
    <t>4 Documentos autorizados (Especificar)</t>
  </si>
  <si>
    <t>Promoción</t>
  </si>
  <si>
    <t>c) TIPO DE GUÍA DE REMISIÓN:</t>
  </si>
  <si>
    <t>Premio</t>
  </si>
  <si>
    <t>1 Guía de remisión</t>
  </si>
  <si>
    <t>ANA PAULA MAYTA</t>
  </si>
  <si>
    <t>PROPC18</t>
  </si>
  <si>
    <t>EMILIO JUAREZ,CORNELIO</t>
  </si>
  <si>
    <t>2 Documentos Internos (Especificar)</t>
  </si>
  <si>
    <t>SONIA QUEVEDO</t>
  </si>
  <si>
    <t>PROLT19</t>
  </si>
  <si>
    <t>HP LAPTOP 14-CK0xxx</t>
  </si>
  <si>
    <t>INTEL CORE I5</t>
  </si>
  <si>
    <t>La leyenda se consignará, por lo menos, una vez al inicio de cada mes.</t>
  </si>
  <si>
    <t>DEYSI ROJAS</t>
  </si>
  <si>
    <t>PROLT20</t>
  </si>
  <si>
    <t>DELL INC</t>
  </si>
  <si>
    <t xml:space="preserve"> INSPIRON 3421</t>
  </si>
  <si>
    <t>INTEL CORE I 5</t>
  </si>
  <si>
    <t>DIANA ALBAÑIL</t>
  </si>
  <si>
    <t>FABIAN FLORES</t>
  </si>
  <si>
    <t>PROPC21</t>
  </si>
  <si>
    <t>CPU ANTIGUA DISCO SOLIDO</t>
  </si>
  <si>
    <t>LARRY VILLA</t>
  </si>
  <si>
    <t>PROPC22</t>
  </si>
  <si>
    <t>DISCO SOL.IDO</t>
  </si>
  <si>
    <t>MARIANO VILLANUEVA</t>
  </si>
  <si>
    <t>PROLT23</t>
  </si>
  <si>
    <t>GERARDPO GUTIERREZ</t>
  </si>
  <si>
    <t>EMILIO JUAREZ</t>
  </si>
  <si>
    <t>PROLT24</t>
  </si>
  <si>
    <t xml:space="preserve">MONICA VARGAS </t>
  </si>
  <si>
    <t>PROLT25</t>
  </si>
  <si>
    <t>ASUS</t>
  </si>
  <si>
    <t xml:space="preserve">VIVOBOOK_ASUSLAPTOP X1605ZA_X1605ZA </t>
  </si>
  <si>
    <t>ASUSTEK CUMPUTER INC.</t>
  </si>
  <si>
    <t>NUEVO 2024</t>
  </si>
  <si>
    <t>LUIS CABRERA</t>
  </si>
  <si>
    <t>PROLT26</t>
  </si>
  <si>
    <t>ASUSTEK</t>
  </si>
  <si>
    <t>VIVOLOOK_ASUSLAPTOP X1502VA_X1502VA</t>
  </si>
  <si>
    <t>NUEVO 2026</t>
  </si>
  <si>
    <t>ARTURO AVALOS</t>
  </si>
  <si>
    <t>PROPC46</t>
  </si>
  <si>
    <t>AMD A6-6400K APU</t>
  </si>
  <si>
    <t>DANIEL PRADO</t>
  </si>
  <si>
    <t>PROLT47</t>
  </si>
  <si>
    <t>82XM</t>
  </si>
  <si>
    <t>NUEVO  2025</t>
  </si>
  <si>
    <t>AMANDA ALAMA</t>
  </si>
  <si>
    <t>PROPC49</t>
  </si>
  <si>
    <t>MONITOR</t>
  </si>
  <si>
    <t>A320M -S2H</t>
  </si>
  <si>
    <t>CPU  NUEVO DISCO SOLIDO</t>
  </si>
  <si>
    <t>KEN CUBAS</t>
  </si>
  <si>
    <t>PROLT54</t>
  </si>
  <si>
    <t>ACER</t>
  </si>
  <si>
    <t>SWIFT SF314-54G</t>
  </si>
  <si>
    <t>DAVID ZAPATA</t>
  </si>
  <si>
    <t>COOLER/ SE ARREGLO LA PLACA BIOS 03/2026</t>
  </si>
  <si>
    <t>ADMINISTRACION</t>
  </si>
  <si>
    <t>EDEN ESPINOZA</t>
  </si>
  <si>
    <t>PROLT27</t>
  </si>
  <si>
    <t>HP PAVILION</t>
  </si>
  <si>
    <t>INTEL COREI7</t>
  </si>
  <si>
    <t>RENATO ESPINOZA</t>
  </si>
  <si>
    <t>PROLT28</t>
  </si>
  <si>
    <t>BRENDA ESPINOZA</t>
  </si>
  <si>
    <t>PROLT29</t>
  </si>
  <si>
    <t>81W6</t>
  </si>
  <si>
    <t>ESPERANZA QUEVEDO</t>
  </si>
  <si>
    <t>PROLT30</t>
  </si>
  <si>
    <t>LAPTOP ANTIGUO DISCO SOLIDO</t>
  </si>
  <si>
    <t xml:space="preserve">KAREN GUSMAN </t>
  </si>
  <si>
    <t>PROPC31</t>
  </si>
  <si>
    <t>MONITOR: LG</t>
  </si>
  <si>
    <t>SERVIDOR</t>
  </si>
  <si>
    <t>MONITOR: SAMSUNG</t>
  </si>
  <si>
    <t>PROLIANT ML350P</t>
  </si>
  <si>
    <t>INTEL XERON CPU ES -2620</t>
  </si>
  <si>
    <t>ANA SANABRIA</t>
  </si>
  <si>
    <t>PROLT32</t>
  </si>
  <si>
    <t>HP LAPTOP 14/ 849A</t>
  </si>
  <si>
    <t>INTEL CORE I5/</t>
  </si>
  <si>
    <t>JEAN POOL CRUZADO</t>
  </si>
  <si>
    <t>PROPC33</t>
  </si>
  <si>
    <t>GA-78LMTLS2P</t>
  </si>
  <si>
    <t>AMELIA GALAN</t>
  </si>
  <si>
    <t>PROLT34</t>
  </si>
  <si>
    <t>TOSHIBA</t>
  </si>
  <si>
    <t>SATELLITE C655</t>
  </si>
  <si>
    <t>JORGE VILLANUEVA</t>
  </si>
  <si>
    <t>PROPC35</t>
  </si>
  <si>
    <t>CPU ANTIGUO  CAMBIAR DISCO SOLIDO</t>
  </si>
  <si>
    <t>KEVIN CASTRO</t>
  </si>
  <si>
    <t>PROLT36</t>
  </si>
  <si>
    <t>NUEVA 2024</t>
  </si>
  <si>
    <t>HAJIME AVILA</t>
  </si>
  <si>
    <t>PROLT44</t>
  </si>
  <si>
    <t>83K6</t>
  </si>
  <si>
    <t>NUEVA 2025</t>
  </si>
  <si>
    <t>PROLT45</t>
  </si>
  <si>
    <t>82TT</t>
  </si>
  <si>
    <t>JHONATAN UGAZ</t>
  </si>
  <si>
    <t>PROPC11</t>
  </si>
  <si>
    <t xml:space="preserve">MONITOR </t>
  </si>
  <si>
    <t>IVAN GALDOS</t>
  </si>
  <si>
    <t>PROLT12</t>
  </si>
  <si>
    <t>NUEVA 2026</t>
  </si>
  <si>
    <t>NUEVO</t>
  </si>
  <si>
    <t>MOISES OBLITAS</t>
  </si>
  <si>
    <t>PROLT50</t>
  </si>
  <si>
    <t>ALMACEN</t>
  </si>
  <si>
    <t>JORGE RAMOS</t>
  </si>
  <si>
    <t>PROLT37</t>
  </si>
  <si>
    <t>ANTIGUO</t>
  </si>
  <si>
    <t>ANGELO DELGADO</t>
  </si>
  <si>
    <t>PROPC39</t>
  </si>
  <si>
    <t>AMD PHENOM™</t>
  </si>
  <si>
    <t>MONITOR NUEVO ENTREGADO  13/03/2026</t>
  </si>
  <si>
    <t>D''AGO SULLCA</t>
  </si>
  <si>
    <t>PROPC40</t>
  </si>
  <si>
    <t>M68MT- S2P</t>
  </si>
  <si>
    <t>SUPERVISORES</t>
  </si>
  <si>
    <t>ANDRE MARMOLEJO</t>
  </si>
  <si>
    <t>PROLT41</t>
  </si>
  <si>
    <t>LENOVO 80SL</t>
  </si>
  <si>
    <t>JAIR MEJIA FELICES</t>
  </si>
  <si>
    <t>PROLT42</t>
  </si>
  <si>
    <t>JEMSY PEINADO</t>
  </si>
  <si>
    <t>PROLT43</t>
  </si>
  <si>
    <t>CHRISTIAN CHAMBI</t>
  </si>
  <si>
    <t>OSCAR CURILLA (TRUJILLO) ALEXANDER ALVARADO</t>
  </si>
  <si>
    <t>PROLT52</t>
  </si>
  <si>
    <t>ZUTA (UCV PIURA)</t>
  </si>
  <si>
    <t>PROLT53</t>
  </si>
  <si>
    <t>JESICA GUTIERREZ QUISPE</t>
  </si>
  <si>
    <t>PROLT55</t>
  </si>
  <si>
    <t>LAPTOP ANTIGUA/ 20/11/2024</t>
  </si>
  <si>
    <t>CARLOS PAREDES</t>
  </si>
  <si>
    <t>PROLT56</t>
  </si>
  <si>
    <t>SAMSUNG</t>
  </si>
  <si>
    <t>MARIA LUISA UCHUYA  / MAITHE ESPINOZA</t>
  </si>
  <si>
    <t>IMPRESORA</t>
  </si>
  <si>
    <t>ANEXO N° 4.1: MODELO DE REGISTRO  AUXILIAR DE  INVENTARIO  PERMANENTE VALORIZADO</t>
  </si>
  <si>
    <t xml:space="preserve">EPSON2026  </t>
  </si>
  <si>
    <t>EPSON</t>
  </si>
  <si>
    <t>L3250</t>
  </si>
  <si>
    <t>XAGZJ30226</t>
  </si>
  <si>
    <t xml:space="preserve">IVAN AIRE </t>
  </si>
  <si>
    <t xml:space="preserve">EPSON 2025 </t>
  </si>
  <si>
    <t>L380</t>
  </si>
  <si>
    <t>X34Q311713</t>
  </si>
  <si>
    <t>JHONATAN  UGAZ</t>
  </si>
  <si>
    <t xml:space="preserve">EPSON2019  </t>
  </si>
  <si>
    <t xml:space="preserve">EPSON2024  </t>
  </si>
  <si>
    <t>XAGZF02928</t>
  </si>
  <si>
    <t xml:space="preserve">EPSON2015  </t>
  </si>
  <si>
    <t>L800</t>
  </si>
  <si>
    <t>Q83K018027</t>
  </si>
  <si>
    <t>L3110</t>
  </si>
  <si>
    <t>X645128468</t>
  </si>
  <si>
    <t>EPSON2018</t>
  </si>
  <si>
    <t>L355</t>
  </si>
  <si>
    <t>S42K314023</t>
  </si>
  <si>
    <r>
      <rPr>
        <rFont val="Arial"/>
        <b/>
        <color theme="1"/>
        <sz val="9.0"/>
      </rPr>
      <t>Nombre, denominación o razón social del deudor tributario :</t>
    </r>
    <r>
      <rPr>
        <rFont val="Arial"/>
        <b val="0"/>
        <color theme="1"/>
        <sz val="9.0"/>
      </rPr>
      <t xml:space="preserve"> Distribuidora El Buen Calzado S.A.</t>
    </r>
  </si>
  <si>
    <t>JEAN PAUL CRUZADO</t>
  </si>
  <si>
    <t>L200</t>
  </si>
  <si>
    <t>VGQK075142</t>
  </si>
  <si>
    <t>XAGZG40937</t>
  </si>
  <si>
    <r>
      <rPr>
        <rFont val="Arial"/>
        <b/>
        <color theme="1"/>
        <sz val="9.0"/>
      </rPr>
      <t>Denominación del registro :</t>
    </r>
    <r>
      <rPr>
        <rFont val="Arial"/>
        <b val="0"/>
        <color theme="1"/>
        <sz val="9.0"/>
      </rPr>
      <t xml:space="preserve">   Registro Auxiliar de Inventario Permanente Valorizado </t>
    </r>
  </si>
  <si>
    <t>DAISY ROJAS</t>
  </si>
  <si>
    <t>EPSON 2022</t>
  </si>
  <si>
    <t>L1250</t>
  </si>
  <si>
    <t>XBFQ212269</t>
  </si>
  <si>
    <r>
      <rPr>
        <rFont val="Arial"/>
        <b/>
        <color theme="1"/>
        <sz val="9.0"/>
      </rPr>
      <t>Método de Valuación de Existencias :</t>
    </r>
    <r>
      <rPr>
        <rFont val="Arial"/>
        <b val="0"/>
        <color theme="1"/>
        <sz val="9.0"/>
      </rPr>
      <t xml:space="preserve"> Promedio Móvil</t>
    </r>
  </si>
  <si>
    <t>L575</t>
  </si>
  <si>
    <t>W9AY082341</t>
  </si>
  <si>
    <t>ZEBRA2024</t>
  </si>
  <si>
    <t>IMPRESORA FOTOCHECK</t>
  </si>
  <si>
    <t>ZEBRA</t>
  </si>
  <si>
    <t>ZC100</t>
  </si>
  <si>
    <r>
      <rPr>
        <rFont val="Arial"/>
        <b/>
        <color theme="1"/>
        <sz val="9.0"/>
      </rPr>
      <t>Mes :</t>
    </r>
    <r>
      <rPr>
        <rFont val="Arial"/>
        <b val="0"/>
        <color theme="1"/>
        <sz val="9.0"/>
      </rPr>
      <t xml:space="preserve"> Abril</t>
    </r>
  </si>
  <si>
    <r>
      <rPr>
        <rFont val="Arial"/>
        <b/>
        <color theme="1"/>
        <sz val="9.0"/>
      </rPr>
      <t>Ejercicio:</t>
    </r>
    <r>
      <rPr>
        <rFont val="Arial"/>
        <b val="0"/>
        <color theme="1"/>
        <sz val="9.0"/>
      </rPr>
      <t xml:space="preserve"> 2001</t>
    </r>
  </si>
  <si>
    <t>XAG2G40703</t>
  </si>
  <si>
    <r>
      <rPr>
        <rFont val="Arial"/>
        <b/>
        <color theme="1"/>
        <sz val="9.0"/>
      </rPr>
      <t xml:space="preserve">Tipo  de  existencia  : </t>
    </r>
    <r>
      <rPr>
        <rFont val="Arial"/>
        <b val="0"/>
        <color theme="1"/>
        <sz val="9.0"/>
      </rPr>
      <t>Mercaderías</t>
    </r>
  </si>
  <si>
    <t>OSCAR CURILLA</t>
  </si>
  <si>
    <r>
      <rPr>
        <rFont val="Arial"/>
        <b/>
        <color theme="1"/>
        <sz val="10.0"/>
      </rPr>
      <t xml:space="preserve">Código: </t>
    </r>
    <r>
      <rPr>
        <rFont val="Arial"/>
        <b val="0"/>
        <color theme="1"/>
        <sz val="10.0"/>
      </rPr>
      <t>A116</t>
    </r>
  </si>
  <si>
    <t>FOTOCOPIADORA</t>
  </si>
  <si>
    <r>
      <rPr>
        <rFont val="Arial"/>
        <b/>
        <color theme="1"/>
        <sz val="9.0"/>
      </rPr>
      <t>Descripción :</t>
    </r>
    <r>
      <rPr>
        <rFont val="Arial"/>
        <b val="0"/>
        <color theme="1"/>
        <sz val="9.0"/>
      </rPr>
      <t xml:space="preserve"> Zapatillas marca Sport - talla 41</t>
    </r>
  </si>
  <si>
    <r>
      <rPr>
        <rFont val="Arial"/>
        <b/>
        <color theme="1"/>
        <sz val="9.0"/>
      </rPr>
      <t>Unidad de Medida :</t>
    </r>
    <r>
      <rPr>
        <rFont val="Arial"/>
        <b val="0"/>
        <color theme="1"/>
        <sz val="9.0"/>
      </rPr>
      <t xml:space="preserve"> Docena</t>
    </r>
  </si>
  <si>
    <t>TERCER PISO</t>
  </si>
  <si>
    <t>KONIKA COLOR</t>
  </si>
  <si>
    <t>KONIKA</t>
  </si>
  <si>
    <t>C280</t>
  </si>
  <si>
    <t>SEGUNDO PISO</t>
  </si>
  <si>
    <t>KONIKA B/N</t>
  </si>
  <si>
    <t>364E</t>
  </si>
  <si>
    <t>LAPTOP STOCK</t>
  </si>
  <si>
    <t>COSTO</t>
  </si>
  <si>
    <r>
      <rPr>
        <rFont val="Arial"/>
        <color theme="1"/>
        <sz val="8.0"/>
      </rPr>
      <t xml:space="preserve">TIPO </t>
    </r>
    <r>
      <rPr>
        <rFont val="Arial"/>
        <color theme="1"/>
        <sz val="8.0"/>
        <vertAlign val="superscript"/>
      </rPr>
      <t>b</t>
    </r>
  </si>
  <si>
    <r>
      <rPr>
        <rFont val="Arial"/>
        <color theme="1"/>
        <sz val="8.0"/>
      </rPr>
      <t xml:space="preserve">TIPO </t>
    </r>
    <r>
      <rPr>
        <rFont val="Arial"/>
        <color theme="1"/>
        <sz val="10.0"/>
        <vertAlign val="superscript"/>
      </rPr>
      <t>c</t>
    </r>
  </si>
  <si>
    <t xml:space="preserve">UNITARIO </t>
  </si>
  <si>
    <t>TOTAL</t>
  </si>
  <si>
    <t>CAMBIO DE DISCO SURO Y SE AGREGO MEMORIA RAM DE 4 03/2026</t>
  </si>
  <si>
    <r>
      <rPr>
        <rFont val="Arial"/>
        <color theme="1"/>
        <sz val="8.0"/>
      </rPr>
      <t xml:space="preserve">TIPO </t>
    </r>
    <r>
      <rPr>
        <rFont val="Arial"/>
        <color theme="1"/>
        <sz val="10.0"/>
        <vertAlign val="superscript"/>
      </rPr>
      <t>a</t>
    </r>
  </si>
  <si>
    <r>
      <rPr>
        <rFont val="Arial"/>
        <color theme="1"/>
        <sz val="8.0"/>
      </rPr>
      <t xml:space="preserve">TIPO </t>
    </r>
    <r>
      <rPr>
        <rFont val="Arial"/>
        <color theme="1"/>
        <sz val="10.0"/>
        <vertAlign val="superscript"/>
      </rPr>
      <t>a</t>
    </r>
  </si>
  <si>
    <t>LAPTOP  NO FUNCIONAN</t>
  </si>
  <si>
    <t>UNITARIO</t>
  </si>
  <si>
    <t>SE TIENEN 9 EN FISICO EN OFICINA</t>
  </si>
  <si>
    <t xml:space="preserve">TOTAL PC DE ESCRITORIO         </t>
  </si>
  <si>
    <t xml:space="preserve">  = 19 FUNCIONANDO</t>
  </si>
  <si>
    <t xml:space="preserve">TOTAL LAPTOP  ASIGNADOS     </t>
  </si>
  <si>
    <t xml:space="preserve">  = 37 FUNCIONANDO</t>
  </si>
  <si>
    <t xml:space="preserve">LAPTOP EN STOCK                       </t>
  </si>
  <si>
    <t>LAPTOP NO FUNCIONAN            = 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</si>
</sst>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S/&quot;\ #,##0.00"/>
    <numFmt numFmtId="165" formatCode="D/M/YYYY"/>
    <numFmt numFmtId="166" formatCode="#,##0.00_ ;\-#,##0.00\ "/>
    <numFmt numFmtId="167" formatCode="#,##0_ ;\-#,##0\ "/>
  </numFmts>
  <fonts count="23">
    <font>
      <sz val="10.0"/>
      <color rgb="FF000000"/>
      <name val="Arial"/>
      <scheme val="minor"/>
    </font>
    <font>
      <sz val="10.0"/>
      <color theme="1"/>
      <name val="Arial"/>
    </font>
    <font>
      <b/>
      <sz val="14.0"/>
      <color theme="1"/>
      <name val="Arial"/>
    </font>
    <font>
      <b/>
      <sz val="11.0"/>
      <color theme="1"/>
      <name val="Arial"/>
    </font>
    <font>
      <b/>
      <sz val="12.0"/>
      <color theme="1"/>
      <name val="Arial"/>
    </font>
    <font>
      <sz val="12.0"/>
      <color theme="1"/>
      <name val="Times New Roman"/>
    </font>
    <font>
      <sz val="12.0"/>
      <color theme="1"/>
      <name val="Arial"/>
    </font>
    <font>
      <sz val="11.0"/>
      <color theme="1"/>
      <name val="Arial"/>
    </font>
    <font>
      <sz val="9.0"/>
      <color theme="1"/>
      <name val="Arial"/>
    </font>
    <font>
      <b/>
      <sz val="9.0"/>
      <color theme="1"/>
      <name val="Arial"/>
    </font>
    <font>
      <u/>
      <sz val="9.0"/>
      <color theme="1"/>
      <name val="Arial"/>
    </font>
    <font>
      <b/>
      <sz val="10.0"/>
      <color theme="1"/>
      <name val="Arial"/>
    </font>
    <font>
      <sz val="9.0"/>
      <color theme="1"/>
      <name val="Times New Roman"/>
    </font>
    <font/>
    <font>
      <sz val="10.0"/>
      <color theme="1"/>
      <name val="Times New Roman"/>
    </font>
    <font>
      <sz val="8.0"/>
      <color theme="1"/>
      <name val="Arial"/>
    </font>
    <font>
      <sz val="8.0"/>
      <color theme="1"/>
      <name val="Times New Roman"/>
    </font>
    <font>
      <sz val="11.0"/>
      <color rgb="FF2C363A"/>
      <name val="Calibri"/>
    </font>
    <font>
      <sz val="14.0"/>
      <color theme="1"/>
      <name val="Arial"/>
    </font>
    <font>
      <b/>
      <sz val="8.0"/>
      <color theme="1"/>
      <name val="Arial"/>
    </font>
    <font>
      <b/>
      <sz val="14.0"/>
      <color rgb="FFFF0000"/>
      <name val="Arial"/>
    </font>
    <font>
      <sz val="14.0"/>
      <color rgb="FFFF0000"/>
      <name val="Arial"/>
    </font>
    <font>
      <b/>
      <sz val="11.0"/>
      <color theme="1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theme="9"/>
        <bgColor theme="9"/>
      </patternFill>
    </fill>
    <fill>
      <patternFill patternType="solid">
        <fgColor rgb="FFFBE4D5"/>
        <bgColor rgb="FFFBE4D5"/>
      </patternFill>
    </fill>
    <fill>
      <patternFill patternType="solid">
        <fgColor rgb="FFBDD6EE"/>
        <bgColor rgb="FFBDD6EE"/>
      </patternFill>
    </fill>
    <fill>
      <patternFill patternType="solid">
        <fgColor rgb="FFFFD965"/>
        <bgColor rgb="FFFFD965"/>
      </patternFill>
    </fill>
    <fill>
      <patternFill patternType="solid">
        <fgColor rgb="FF969696"/>
        <bgColor rgb="FF969696"/>
      </patternFill>
    </fill>
    <fill>
      <patternFill patternType="solid">
        <fgColor rgb="FFFFCC00"/>
        <bgColor rgb="FFFFCC00"/>
      </patternFill>
    </fill>
    <fill>
      <patternFill patternType="solid">
        <fgColor rgb="FF00FFFF"/>
        <bgColor rgb="FF00FFFF"/>
      </patternFill>
    </fill>
    <fill>
      <patternFill patternType="solid">
        <fgColor rgb="FFFFF2CB"/>
        <bgColor rgb="FFFFF2CB"/>
      </patternFill>
    </fill>
    <fill>
      <patternFill patternType="solid">
        <fgColor rgb="FFFF99CC"/>
        <bgColor rgb="FFFF99CC"/>
      </patternFill>
    </fill>
  </fills>
  <borders count="39">
    <border/>
    <border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/>
    </border>
    <border>
      <right/>
      <top/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2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4" numFmtId="0" xfId="0" applyAlignment="1" applyFont="1">
      <alignment horizontal="center" shrinkToFit="0" vertical="bottom" wrapText="0"/>
    </xf>
    <xf borderId="0" fillId="0" fontId="5" numFmtId="0" xfId="0" applyAlignment="1" applyFont="1">
      <alignment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6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horizontal="center" shrinkToFit="0" vertical="bottom" wrapText="0"/>
    </xf>
    <xf borderId="0" fillId="0" fontId="8" numFmtId="0" xfId="0" applyAlignment="1" applyFont="1">
      <alignment shrinkToFit="0" vertical="bottom" wrapText="0"/>
    </xf>
    <xf borderId="0" fillId="0" fontId="7" numFmtId="0" xfId="0" applyAlignment="1" applyFont="1">
      <alignment horizontal="left" shrinkToFit="0" vertical="bottom" wrapText="0"/>
    </xf>
    <xf borderId="0" fillId="0" fontId="9" numFmtId="0" xfId="0" applyAlignment="1" applyFon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2" fillId="2" fontId="11" numFmtId="0" xfId="0" applyAlignment="1" applyBorder="1" applyFill="1" applyFont="1">
      <alignment horizontal="center" shrinkToFit="0" vertical="bottom" wrapText="0"/>
    </xf>
    <xf borderId="0" fillId="0" fontId="12" numFmtId="0" xfId="0" applyAlignment="1" applyFont="1">
      <alignment shrinkToFit="0" vertical="bottom" wrapText="0"/>
    </xf>
    <xf borderId="3" fillId="0" fontId="11" numFmtId="0" xfId="0" applyAlignment="1" applyBorder="1" applyFont="1">
      <alignment horizontal="left" shrinkToFit="0" vertical="center" wrapText="1"/>
    </xf>
    <xf borderId="4" fillId="2" fontId="11" numFmtId="0" xfId="0" applyAlignment="1" applyBorder="1" applyFont="1">
      <alignment horizontal="center" shrinkToFit="0" vertical="center" wrapText="1"/>
    </xf>
    <xf borderId="5" fillId="0" fontId="11" numFmtId="0" xfId="0" applyAlignment="1" applyBorder="1" applyFont="1">
      <alignment horizontal="left" shrinkToFit="0" vertical="center" wrapText="0"/>
    </xf>
    <xf borderId="6" fillId="2" fontId="11" numFmtId="0" xfId="0" applyAlignment="1" applyBorder="1" applyFont="1">
      <alignment horizontal="left" shrinkToFit="0" vertical="center" wrapText="0"/>
    </xf>
    <xf borderId="7" fillId="0" fontId="11" numFmtId="0" xfId="0" applyAlignment="1" applyBorder="1" applyFont="1">
      <alignment horizontal="left" shrinkToFit="0" vertical="center" wrapText="0"/>
    </xf>
    <xf borderId="8" fillId="2" fontId="11" numFmtId="0" xfId="0" applyAlignment="1" applyBorder="1" applyFont="1">
      <alignment horizontal="left" shrinkToFit="0" vertical="center" wrapText="0"/>
    </xf>
    <xf borderId="9" fillId="0" fontId="11" numFmtId="0" xfId="0" applyAlignment="1" applyBorder="1" applyFont="1">
      <alignment horizontal="left" shrinkToFit="0" vertical="center" wrapText="0"/>
    </xf>
    <xf borderId="10" fillId="2" fontId="11" numFmtId="0" xfId="0" applyAlignment="1" applyBorder="1" applyFont="1">
      <alignment horizontal="left" shrinkToFit="0" vertical="center" wrapText="0"/>
    </xf>
    <xf borderId="11" fillId="0" fontId="11" numFmtId="0" xfId="0" applyAlignment="1" applyBorder="1" applyFont="1">
      <alignment horizontal="left" shrinkToFit="0" vertical="center" wrapText="1"/>
    </xf>
    <xf borderId="12" fillId="2" fontId="11" numFmtId="164" xfId="0" applyAlignment="1" applyBorder="1" applyFont="1" applyNumberFormat="1">
      <alignment horizontal="left" shrinkToFit="0" vertical="center" wrapText="1"/>
    </xf>
    <xf borderId="3" fillId="0" fontId="11" numFmtId="0" xfId="0" applyAlignment="1" applyBorder="1" applyFont="1">
      <alignment horizontal="left" shrinkToFit="0" vertical="center" wrapText="0"/>
    </xf>
    <xf borderId="5" fillId="0" fontId="11" numFmtId="0" xfId="0" applyAlignment="1" applyBorder="1" applyFont="1">
      <alignment shrinkToFit="0" vertical="center" wrapText="0"/>
    </xf>
    <xf borderId="13" fillId="0" fontId="11" numFmtId="0" xfId="0" applyAlignment="1" applyBorder="1" applyFont="1">
      <alignment horizontal="left" shrinkToFit="0" vertical="center" wrapText="1"/>
    </xf>
    <xf borderId="7" fillId="0" fontId="1" numFmtId="0" xfId="0" applyAlignment="1" applyBorder="1" applyFont="1">
      <alignment shrinkToFit="0" vertical="center" wrapText="0"/>
    </xf>
    <xf borderId="11" fillId="0" fontId="11" numFmtId="0" xfId="0" applyAlignment="1" applyBorder="1" applyFont="1">
      <alignment horizontal="left" shrinkToFit="0" vertical="center" wrapText="0"/>
    </xf>
    <xf borderId="2" fillId="2" fontId="1" numFmtId="0" xfId="0" applyAlignment="1" applyBorder="1" applyFont="1">
      <alignment horizontal="center" shrinkToFit="0" vertical="bottom" wrapText="0"/>
    </xf>
    <xf borderId="0" fillId="0" fontId="8" numFmtId="49" xfId="0" applyAlignment="1" applyFont="1" applyNumberFormat="1">
      <alignment shrinkToFit="0" vertical="bottom" wrapText="0"/>
    </xf>
    <xf borderId="14" fillId="2" fontId="11" numFmtId="0" xfId="0" applyAlignment="1" applyBorder="1" applyFont="1">
      <alignment horizontal="center" shrinkToFit="0" vertical="center" wrapText="1"/>
    </xf>
    <xf borderId="7" fillId="0" fontId="11" numFmtId="0" xfId="0" applyAlignment="1" applyBorder="1" applyFont="1">
      <alignment shrinkToFit="0" vertical="center" wrapText="0"/>
    </xf>
    <xf borderId="14" fillId="2" fontId="11" numFmtId="0" xfId="0" applyAlignment="1" applyBorder="1" applyFont="1">
      <alignment horizontal="left" shrinkToFit="0" vertical="center" wrapText="1"/>
    </xf>
    <xf borderId="3" fillId="0" fontId="1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5" fillId="0" fontId="1" numFmtId="0" xfId="0" applyAlignment="1" applyBorder="1" applyFont="1">
      <alignment shrinkToFit="0" vertical="center" wrapText="0"/>
    </xf>
    <xf borderId="13" fillId="2" fontId="11" numFmtId="164" xfId="0" applyAlignment="1" applyBorder="1" applyFont="1" applyNumberFormat="1">
      <alignment horizontal="center" shrinkToFit="0" vertical="center" wrapText="1"/>
    </xf>
    <xf borderId="16" fillId="0" fontId="11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horizontal="right" shrinkToFit="0" vertical="bottom" wrapText="0"/>
    </xf>
    <xf borderId="16" fillId="0" fontId="11" numFmtId="0" xfId="0" applyAlignment="1" applyBorder="1" applyFont="1">
      <alignment horizontal="left" shrinkToFit="0" vertical="center" wrapText="0"/>
    </xf>
    <xf borderId="17" fillId="0" fontId="11" numFmtId="0" xfId="0" applyAlignment="1" applyBorder="1" applyFont="1">
      <alignment horizontal="left" shrinkToFit="0" vertical="center" wrapText="1"/>
    </xf>
    <xf borderId="16" fillId="0" fontId="11" numFmtId="0" xfId="0" applyAlignment="1" applyBorder="1" applyFont="1">
      <alignment shrinkToFit="0" vertical="center" wrapText="1"/>
    </xf>
    <xf borderId="0" fillId="0" fontId="11" numFmtId="0" xfId="0" applyAlignment="1" applyFont="1">
      <alignment horizontal="left" shrinkToFit="0" vertical="center" wrapText="1"/>
    </xf>
    <xf borderId="17" fillId="0" fontId="11" numFmtId="0" xfId="0" applyAlignment="1" applyBorder="1" applyFont="1">
      <alignment shrinkToFit="0" vertical="center" wrapText="1"/>
    </xf>
    <xf borderId="18" fillId="2" fontId="11" numFmtId="0" xfId="0" applyAlignment="1" applyBorder="1" applyFont="1">
      <alignment horizontal="center" shrinkToFit="0" vertical="center" wrapText="0"/>
    </xf>
    <xf borderId="19" fillId="2" fontId="11" numFmtId="0" xfId="0" applyAlignment="1" applyBorder="1" applyFont="1">
      <alignment shrinkToFit="0" vertical="bottom" wrapText="0"/>
    </xf>
    <xf borderId="3" fillId="0" fontId="11" numFmtId="0" xfId="0" applyAlignment="1" applyBorder="1" applyFont="1">
      <alignment shrinkToFit="0" vertical="center" wrapText="1"/>
    </xf>
    <xf borderId="16" fillId="0" fontId="1" numFmtId="0" xfId="0" applyAlignment="1" applyBorder="1" applyFont="1">
      <alignment horizontal="center" shrinkToFit="0" vertical="bottom" wrapText="0"/>
    </xf>
    <xf borderId="13" fillId="0" fontId="11" numFmtId="0" xfId="0" applyAlignment="1" applyBorder="1" applyFont="1">
      <alignment shrinkToFit="0" vertical="center" wrapText="1"/>
    </xf>
    <xf borderId="17" fillId="0" fontId="13" numFmtId="0" xfId="0" applyBorder="1" applyFont="1"/>
    <xf borderId="16" fillId="0" fontId="1" numFmtId="0" xfId="0" applyAlignment="1" applyBorder="1" applyFont="1">
      <alignment horizontal="left" shrinkToFit="0" vertical="center" wrapText="0"/>
    </xf>
    <xf borderId="5" fillId="0" fontId="11" numFmtId="0" xfId="0" applyAlignment="1" applyBorder="1" applyFont="1">
      <alignment horizontal="center" shrinkToFit="0" vertical="bottom" wrapText="0"/>
    </xf>
    <xf borderId="7" fillId="0" fontId="13" numFmtId="0" xfId="0" applyBorder="1" applyFont="1"/>
    <xf borderId="9" fillId="0" fontId="13" numFmtId="0" xfId="0" applyBorder="1" applyFont="1"/>
    <xf borderId="20" fillId="0" fontId="13" numFmtId="0" xfId="0" applyBorder="1" applyFont="1"/>
    <xf borderId="21" fillId="2" fontId="11" numFmtId="0" xfId="0" applyAlignment="1" applyBorder="1" applyFont="1">
      <alignment shrinkToFit="0" vertical="center" wrapText="0"/>
    </xf>
    <xf borderId="13" fillId="0" fontId="11" numFmtId="0" xfId="0" applyAlignment="1" applyBorder="1" applyFont="1">
      <alignment horizontal="center" shrinkToFit="0" vertical="bottom" wrapText="0"/>
    </xf>
    <xf borderId="16" fillId="0" fontId="13" numFmtId="0" xfId="0" applyBorder="1" applyFont="1"/>
    <xf borderId="22" fillId="0" fontId="11" numFmtId="0" xfId="0" applyAlignment="1" applyBorder="1" applyFont="1">
      <alignment horizontal="left" shrinkToFit="0" vertical="center" wrapText="1"/>
    </xf>
    <xf borderId="7" fillId="0" fontId="11" numFmtId="0" xfId="0" applyAlignment="1" applyBorder="1" applyFont="1">
      <alignment horizontal="center" shrinkToFit="0" vertical="bottom" wrapText="0"/>
    </xf>
    <xf borderId="23" fillId="3" fontId="11" numFmtId="0" xfId="0" applyAlignment="1" applyBorder="1" applyFill="1" applyFont="1">
      <alignment horizontal="center" shrinkToFit="0" vertical="bottom" wrapText="0"/>
    </xf>
    <xf borderId="22" fillId="0" fontId="1" numFmtId="0" xfId="0" applyAlignment="1" applyBorder="1" applyFont="1">
      <alignment horizontal="left" shrinkToFit="0" vertical="center" wrapText="0"/>
    </xf>
    <xf borderId="24" fillId="2" fontId="11" numFmtId="0" xfId="0" applyAlignment="1" applyBorder="1" applyFont="1">
      <alignment horizontal="center" shrinkToFit="0" vertical="center" wrapText="1"/>
    </xf>
    <xf borderId="23" fillId="0" fontId="11" numFmtId="0" xfId="0" applyAlignment="1" applyBorder="1" applyFont="1">
      <alignment horizontal="center" shrinkToFit="0" vertical="bottom" wrapText="0"/>
    </xf>
    <xf borderId="0" fillId="0" fontId="14" numFmtId="0" xfId="0" applyAlignment="1" applyFont="1">
      <alignment shrinkToFit="0" vertical="bottom" wrapText="0"/>
    </xf>
    <xf borderId="24" fillId="2" fontId="1" numFmtId="0" xfId="0" applyAlignment="1" applyBorder="1" applyFont="1">
      <alignment horizontal="left" shrinkToFit="0" vertical="center" wrapText="0"/>
    </xf>
    <xf borderId="22" fillId="0" fontId="11" numFmtId="0" xfId="0" applyAlignment="1" applyBorder="1" applyFont="1">
      <alignment horizontal="left" shrinkToFit="0" vertical="center" wrapText="0"/>
    </xf>
    <xf borderId="0" fillId="0" fontId="1" numFmtId="0" xfId="0" applyAlignment="1" applyFont="1">
      <alignment shrinkToFit="0" vertical="bottom" wrapText="0"/>
    </xf>
    <xf borderId="24" fillId="2" fontId="11" numFmtId="0" xfId="0" applyAlignment="1" applyBorder="1" applyFont="1">
      <alignment horizontal="left" shrinkToFit="0" vertical="center" wrapText="1"/>
    </xf>
    <xf borderId="22" fillId="0" fontId="1" numFmtId="0" xfId="0" applyAlignment="1" applyBorder="1" applyFont="1">
      <alignment shrinkToFit="0" vertical="bottom" wrapText="0"/>
    </xf>
    <xf borderId="25" fillId="0" fontId="13" numFmtId="0" xfId="0" applyBorder="1" applyFont="1"/>
    <xf borderId="23" fillId="0" fontId="15" numFmtId="0" xfId="0" applyAlignment="1" applyBorder="1" applyFont="1">
      <alignment horizontal="center" shrinkToFit="0" vertical="bottom" wrapText="0"/>
    </xf>
    <xf borderId="22" fillId="0" fontId="11" numFmtId="0" xfId="0" applyAlignment="1" applyBorder="1" applyFont="1">
      <alignment shrinkToFit="0" vertical="center" wrapText="1"/>
    </xf>
    <xf borderId="25" fillId="0" fontId="11" numFmtId="0" xfId="0" applyAlignment="1" applyBorder="1" applyFont="1">
      <alignment horizontal="left" shrinkToFit="0" vertical="center" wrapText="1"/>
    </xf>
    <xf borderId="25" fillId="0" fontId="1" numFmtId="0" xfId="0" applyAlignment="1" applyBorder="1" applyFont="1">
      <alignment shrinkToFit="0" vertical="bottom" wrapText="0"/>
    </xf>
    <xf borderId="5" fillId="0" fontId="15" numFmtId="0" xfId="0" applyAlignment="1" applyBorder="1" applyFont="1">
      <alignment horizontal="center" shrinkToFit="0" vertical="bottom" wrapText="0"/>
    </xf>
    <xf borderId="1" fillId="0" fontId="11" numFmtId="0" xfId="0" applyAlignment="1" applyBorder="1" applyFont="1">
      <alignment horizontal="left" shrinkToFit="0" vertical="center" wrapText="1"/>
    </xf>
    <xf borderId="25" fillId="0" fontId="15" numFmtId="0" xfId="0" applyAlignment="1" applyBorder="1" applyFont="1">
      <alignment horizontal="center" shrinkToFit="0" vertical="bottom" wrapText="0"/>
    </xf>
    <xf borderId="9" fillId="0" fontId="15" numFmtId="0" xfId="0" applyAlignment="1" applyBorder="1" applyFont="1">
      <alignment horizontal="center" shrinkToFit="0" vertical="bottom" wrapText="0"/>
    </xf>
    <xf borderId="26" fillId="0" fontId="13" numFmtId="0" xfId="0" applyBorder="1" applyFont="1"/>
    <xf borderId="27" fillId="2" fontId="11" numFmtId="0" xfId="0" applyAlignment="1" applyBorder="1" applyFont="1">
      <alignment shrinkToFit="0" vertical="bottom" wrapText="0"/>
    </xf>
    <xf borderId="0" fillId="0" fontId="16" numFmtId="0" xfId="0" applyAlignment="1" applyFont="1">
      <alignment shrinkToFit="0" vertical="bottom" wrapText="0"/>
    </xf>
    <xf borderId="23" fillId="0" fontId="1" numFmtId="0" xfId="0" applyAlignment="1" applyBorder="1" applyFont="1">
      <alignment shrinkToFit="0" vertical="bottom" wrapText="0"/>
    </xf>
    <xf borderId="3" fillId="0" fontId="15" numFmtId="165" xfId="0" applyAlignment="1" applyBorder="1" applyFont="1" applyNumberFormat="1">
      <alignment horizontal="center" shrinkToFit="0" vertical="bottom" wrapText="0"/>
    </xf>
    <xf borderId="23" fillId="0" fontId="1" numFmtId="0" xfId="0" applyAlignment="1" applyBorder="1" applyFont="1">
      <alignment horizontal="center" shrinkToFit="0" vertical="bottom" wrapText="0"/>
    </xf>
    <xf borderId="13" fillId="0" fontId="15" numFmtId="0" xfId="0" applyAlignment="1" applyBorder="1" applyFont="1">
      <alignment horizontal="center" shrinkToFit="0" vertical="bottom" wrapText="0"/>
    </xf>
    <xf borderId="25" fillId="0" fontId="1" numFmtId="0" xfId="0" applyAlignment="1" applyBorder="1" applyFont="1">
      <alignment horizontal="center" shrinkToFit="0" vertical="center" wrapText="0"/>
    </xf>
    <xf borderId="3" fillId="0" fontId="15" numFmtId="0" xfId="0" applyAlignment="1" applyBorder="1" applyFont="1">
      <alignment horizontal="center" shrinkToFit="0" vertical="bottom" wrapText="0"/>
    </xf>
    <xf borderId="25" fillId="0" fontId="1" numFmtId="0" xfId="0" applyAlignment="1" applyBorder="1" applyFont="1">
      <alignment horizontal="left" shrinkToFit="0" vertical="center" wrapText="0"/>
    </xf>
    <xf borderId="17" fillId="0" fontId="15" numFmtId="165" xfId="0" applyAlignment="1" applyBorder="1" applyFont="1" applyNumberFormat="1">
      <alignment horizontal="center" shrinkToFit="0" vertical="bottom" wrapText="0"/>
    </xf>
    <xf borderId="17" fillId="0" fontId="15" numFmtId="0" xfId="0" applyAlignment="1" applyBorder="1" applyFont="1">
      <alignment horizontal="center" shrinkToFit="0" vertical="bottom" wrapText="0"/>
    </xf>
    <xf borderId="23" fillId="0" fontId="1" numFmtId="164" xfId="0" applyAlignment="1" applyBorder="1" applyFont="1" applyNumberFormat="1">
      <alignment horizontal="left" shrinkToFit="0" vertical="center" wrapText="0"/>
    </xf>
    <xf borderId="17" fillId="0" fontId="15" numFmtId="0" xfId="0" applyAlignment="1" applyBorder="1" applyFont="1">
      <alignment shrinkToFit="0" vertical="bottom" wrapText="0"/>
    </xf>
    <xf borderId="11" fillId="0" fontId="15" numFmtId="0" xfId="0" applyAlignment="1" applyBorder="1" applyFont="1">
      <alignment horizontal="center" shrinkToFit="0" vertical="bottom" wrapText="0"/>
    </xf>
    <xf borderId="23" fillId="0" fontId="1" numFmtId="0" xfId="0" applyAlignment="1" applyBorder="1" applyFont="1">
      <alignment horizontal="left" shrinkToFit="0" vertical="center" wrapText="0"/>
    </xf>
    <xf borderId="13" fillId="0" fontId="15" numFmtId="0" xfId="0" applyAlignment="1" applyBorder="1" applyFont="1">
      <alignment shrinkToFit="0" vertical="bottom" wrapText="0"/>
    </xf>
    <xf borderId="23" fillId="0" fontId="1" numFmtId="0" xfId="0" applyAlignment="1" applyBorder="1" applyFont="1">
      <alignment horizontal="left" shrinkToFit="0" vertical="bottom" wrapText="0"/>
    </xf>
    <xf borderId="15" fillId="0" fontId="15" numFmtId="0" xfId="0" applyAlignment="1" applyBorder="1" applyFont="1">
      <alignment shrinkToFit="0" vertical="bottom" wrapText="0"/>
    </xf>
    <xf borderId="16" fillId="0" fontId="15" numFmtId="165" xfId="0" applyAlignment="1" applyBorder="1" applyFont="1" applyNumberFormat="1">
      <alignment horizontal="center" shrinkToFit="0" vertical="bottom" wrapText="0"/>
    </xf>
    <xf borderId="0" fillId="0" fontId="15" numFmtId="0" xfId="0" applyAlignment="1" applyFont="1">
      <alignment horizontal="center" shrinkToFit="0" vertical="bottom" wrapText="0"/>
    </xf>
    <xf borderId="28" fillId="0" fontId="15" numFmtId="0" xfId="0" applyAlignment="1" applyBorder="1" applyFont="1">
      <alignment horizontal="center" shrinkToFit="0" vertical="bottom" wrapText="0"/>
    </xf>
    <xf borderId="17" fillId="0" fontId="15" numFmtId="0" xfId="0" applyAlignment="1" applyBorder="1" applyFont="1">
      <alignment horizontal="right" shrinkToFit="0" vertical="bottom" wrapText="0"/>
    </xf>
    <xf borderId="28" fillId="0" fontId="15" numFmtId="0" xfId="0" applyAlignment="1" applyBorder="1" applyFont="1">
      <alignment shrinkToFit="0" vertical="bottom" wrapText="0"/>
    </xf>
    <xf borderId="16" fillId="0" fontId="15" numFmtId="0" xfId="0" applyAlignment="1" applyBorder="1" applyFont="1">
      <alignment horizontal="center" shrinkToFit="0" vertical="bottom" wrapText="0"/>
    </xf>
    <xf borderId="23" fillId="0" fontId="1" numFmtId="0" xfId="0" applyAlignment="1" applyBorder="1" applyFont="1">
      <alignment readingOrder="0" shrinkToFit="0" vertical="bottom" wrapText="0"/>
    </xf>
    <xf borderId="0" fillId="4" fontId="17" numFmtId="0" xfId="0" applyAlignment="1" applyFill="1" applyFont="1">
      <alignment horizontal="center" readingOrder="0"/>
    </xf>
    <xf borderId="23" fillId="5" fontId="1" numFmtId="0" xfId="0" applyAlignment="1" applyBorder="1" applyFill="1" applyFont="1">
      <alignment shrinkToFit="0" vertical="bottom" wrapText="0"/>
    </xf>
    <xf borderId="23" fillId="6" fontId="11" numFmtId="0" xfId="0" applyAlignment="1" applyBorder="1" applyFill="1" applyFont="1">
      <alignment shrinkToFit="0" vertical="bottom" wrapText="0"/>
    </xf>
    <xf borderId="0" fillId="0" fontId="18" numFmtId="0" xfId="0" applyAlignment="1" applyFont="1">
      <alignment shrinkToFit="0" vertical="bottom" wrapText="0"/>
    </xf>
    <xf borderId="16" fillId="0" fontId="15" numFmtId="0" xfId="0" applyAlignment="1" applyBorder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borderId="23" fillId="7" fontId="11" numFmtId="0" xfId="0" applyAlignment="1" applyBorder="1" applyFill="1" applyFont="1">
      <alignment horizontal="center" shrinkToFit="0" vertical="bottom" wrapText="0"/>
    </xf>
    <xf borderId="23" fillId="7" fontId="1" numFmtId="0" xfId="0" applyAlignment="1" applyBorder="1" applyFont="1">
      <alignment horizontal="center" shrinkToFit="0" vertical="bottom" wrapText="0"/>
    </xf>
    <xf borderId="5" fillId="0" fontId="15" numFmtId="0" xfId="0" applyAlignment="1" applyBorder="1" applyFont="1">
      <alignment shrinkToFit="0" vertical="bottom" wrapText="0"/>
    </xf>
    <xf borderId="7" fillId="0" fontId="15" numFmtId="0" xfId="0" applyAlignment="1" applyBorder="1" applyFont="1">
      <alignment shrinkToFit="0" vertical="bottom" wrapText="0"/>
    </xf>
    <xf borderId="23" fillId="7" fontId="1" numFmtId="0" xfId="0" applyAlignment="1" applyBorder="1" applyFont="1">
      <alignment shrinkToFit="0" vertical="bottom" wrapText="0"/>
    </xf>
    <xf borderId="7" fillId="0" fontId="19" numFmtId="0" xfId="0" applyAlignment="1" applyBorder="1" applyFont="1">
      <alignment shrinkToFit="0" vertical="bottom" wrapText="0"/>
    </xf>
    <xf borderId="23" fillId="7" fontId="1" numFmtId="0" xfId="0" applyAlignment="1" applyBorder="1" applyFont="1">
      <alignment horizontal="left" shrinkToFit="0" vertical="bottom" wrapText="0"/>
    </xf>
    <xf borderId="23" fillId="7" fontId="1" numFmtId="164" xfId="0" applyAlignment="1" applyBorder="1" applyFont="1" applyNumberFormat="1">
      <alignment horizontal="left" shrinkToFit="0" vertical="center" wrapText="0"/>
    </xf>
    <xf borderId="23" fillId="0" fontId="15" numFmtId="0" xfId="0" applyAlignment="1" applyBorder="1" applyFont="1">
      <alignment shrinkToFit="0" vertical="bottom" wrapText="0"/>
    </xf>
    <xf borderId="0" fillId="0" fontId="19" numFmtId="0" xfId="0" applyAlignment="1" applyFont="1">
      <alignment shrinkToFit="0" vertical="bottom" wrapText="0"/>
    </xf>
    <xf borderId="3" fillId="0" fontId="19" numFmtId="0" xfId="0" applyAlignment="1" applyBorder="1" applyFont="1">
      <alignment shrinkToFit="0" vertical="bottom" wrapText="0"/>
    </xf>
    <xf borderId="11" fillId="0" fontId="15" numFmtId="0" xfId="0" applyAlignment="1" applyBorder="1" applyFont="1">
      <alignment shrinkToFit="0" vertical="bottom" wrapText="0"/>
    </xf>
    <xf borderId="11" fillId="0" fontId="16" numFmtId="0" xfId="0" applyAlignment="1" applyBorder="1" applyFont="1">
      <alignment shrinkToFit="0" vertical="bottom" wrapText="0"/>
    </xf>
    <xf borderId="15" fillId="0" fontId="16" numFmtId="0" xfId="0" applyAlignment="1" applyBorder="1" applyFont="1">
      <alignment shrinkToFit="0" vertical="bottom" wrapText="0"/>
    </xf>
    <xf borderId="28" fillId="0" fontId="16" numFmtId="0" xfId="0" applyAlignment="1" applyBorder="1" applyFont="1">
      <alignment shrinkToFit="0" vertical="bottom" wrapText="0"/>
    </xf>
    <xf borderId="23" fillId="0" fontId="1" numFmtId="164" xfId="0" applyAlignment="1" applyBorder="1" applyFont="1" applyNumberFormat="1">
      <alignment horizontal="left" shrinkToFit="0" vertical="center" wrapText="1"/>
    </xf>
    <xf borderId="23" fillId="8" fontId="11" numFmtId="0" xfId="0" applyAlignment="1" applyBorder="1" applyFill="1" applyFont="1">
      <alignment horizontal="center" shrinkToFit="0" vertical="bottom" wrapText="0"/>
    </xf>
    <xf borderId="23" fillId="8" fontId="1" numFmtId="0" xfId="0" applyAlignment="1" applyBorder="1" applyFont="1">
      <alignment horizontal="center" shrinkToFit="0" vertical="bottom" wrapText="0"/>
    </xf>
    <xf borderId="23" fillId="8" fontId="1" numFmtId="0" xfId="0" applyAlignment="1" applyBorder="1" applyFont="1">
      <alignment shrinkToFit="0" vertical="bottom" wrapText="0"/>
    </xf>
    <xf borderId="16" fillId="0" fontId="19" numFmtId="0" xfId="0" applyAlignment="1" applyBorder="1" applyFont="1">
      <alignment shrinkToFit="0" vertical="bottom" wrapText="0"/>
    </xf>
    <xf borderId="23" fillId="8" fontId="1" numFmtId="0" xfId="0" applyAlignment="1" applyBorder="1" applyFont="1">
      <alignment horizontal="left" shrinkToFit="0" vertical="bottom" wrapText="0"/>
    </xf>
    <xf borderId="23" fillId="8" fontId="1" numFmtId="164" xfId="0" applyAlignment="1" applyBorder="1" applyFont="1" applyNumberFormat="1">
      <alignment horizontal="left" shrinkToFit="0" vertical="center" wrapText="0"/>
    </xf>
    <xf borderId="22" fillId="0" fontId="16" numFmtId="0" xfId="0" applyAlignment="1" applyBorder="1" applyFont="1">
      <alignment shrinkToFit="0" vertical="bottom" wrapText="0"/>
    </xf>
    <xf borderId="1" fillId="0" fontId="16" numFmtId="0" xfId="0" applyAlignment="1" applyBorder="1" applyFont="1">
      <alignment shrinkToFit="0" vertical="bottom" wrapText="0"/>
    </xf>
    <xf borderId="29" fillId="0" fontId="16" numFmtId="0" xfId="0" applyAlignment="1" applyBorder="1" applyFont="1">
      <alignment shrinkToFit="0" vertical="bottom" wrapText="0"/>
    </xf>
    <xf borderId="22" fillId="0" fontId="15" numFmtId="0" xfId="0" applyAlignment="1" applyBorder="1" applyFont="1">
      <alignment shrinkToFit="0" vertical="bottom" wrapText="0"/>
    </xf>
    <xf borderId="23" fillId="0" fontId="1" numFmtId="0" xfId="0" applyAlignment="1" applyBorder="1" applyFont="1">
      <alignment horizontal="center" readingOrder="0" shrinkToFit="0" vertical="bottom" wrapText="0"/>
    </xf>
    <xf borderId="23" fillId="9" fontId="11" numFmtId="0" xfId="0" applyAlignment="1" applyBorder="1" applyFill="1" applyFont="1">
      <alignment horizontal="center" shrinkToFit="0" vertical="bottom" wrapText="0"/>
    </xf>
    <xf borderId="23" fillId="9" fontId="1" numFmtId="0" xfId="0" applyAlignment="1" applyBorder="1" applyFont="1">
      <alignment horizontal="center" shrinkToFit="0" vertical="bottom" wrapText="0"/>
    </xf>
    <xf borderId="23" fillId="9" fontId="1" numFmtId="0" xfId="0" applyAlignment="1" applyBorder="1" applyFont="1">
      <alignment shrinkToFit="0" vertical="bottom" wrapText="0"/>
    </xf>
    <xf borderId="23" fillId="9" fontId="1" numFmtId="0" xfId="0" applyAlignment="1" applyBorder="1" applyFont="1">
      <alignment horizontal="left" shrinkToFit="0" vertical="bottom" wrapText="0"/>
    </xf>
    <xf borderId="23" fillId="9" fontId="1" numFmtId="164" xfId="0" applyAlignment="1" applyBorder="1" applyFont="1" applyNumberFormat="1">
      <alignment horizontal="left" shrinkToFit="0" vertical="center" wrapText="0"/>
    </xf>
    <xf borderId="17" fillId="0" fontId="1" numFmtId="0" xfId="0" applyAlignment="1" applyBorder="1" applyFont="1">
      <alignment shrinkToFit="0" vertical="bottom" wrapText="0"/>
    </xf>
    <xf borderId="23" fillId="0" fontId="11" numFmtId="0" xfId="0" applyAlignment="1" applyBorder="1" applyFont="1">
      <alignment shrinkToFit="0" vertical="bottom" wrapText="0"/>
    </xf>
    <xf borderId="30" fillId="5" fontId="11" numFmtId="0" xfId="0" applyAlignment="1" applyBorder="1" applyFont="1">
      <alignment horizontal="center" shrinkToFit="0" vertical="bottom" wrapText="0"/>
    </xf>
    <xf borderId="31" fillId="0" fontId="13" numFmtId="0" xfId="0" applyBorder="1" applyFont="1"/>
    <xf borderId="32" fillId="0" fontId="13" numFmtId="0" xfId="0" applyBorder="1" applyFont="1"/>
    <xf borderId="23" fillId="2" fontId="11" numFmtId="0" xfId="0" applyAlignment="1" applyBorder="1" applyFont="1">
      <alignment horizontal="center" shrinkToFit="0" vertical="bottom" wrapText="0"/>
    </xf>
    <xf borderId="30" fillId="10" fontId="11" numFmtId="0" xfId="0" applyAlignment="1" applyBorder="1" applyFill="1" applyFont="1">
      <alignment horizontal="center" shrinkToFit="0" vertical="bottom" wrapText="0"/>
    </xf>
    <xf borderId="23" fillId="2" fontId="1" numFmtId="0" xfId="0" applyAlignment="1" applyBorder="1" applyFont="1">
      <alignment horizontal="center" shrinkToFit="0" vertical="bottom" wrapText="0"/>
    </xf>
    <xf borderId="23" fillId="2" fontId="1" numFmtId="0" xfId="0" applyAlignment="1" applyBorder="1" applyFont="1">
      <alignment shrinkToFit="0" vertical="bottom" wrapText="0"/>
    </xf>
    <xf borderId="23" fillId="2" fontId="1" numFmtId="0" xfId="0" applyAlignment="1" applyBorder="1" applyFont="1">
      <alignment horizontal="left" shrinkToFit="0" vertical="bottom" wrapText="0"/>
    </xf>
    <xf borderId="5" fillId="10" fontId="11" numFmtId="0" xfId="0" applyAlignment="1" applyBorder="1" applyFont="1">
      <alignment horizontal="center" shrinkToFit="0" vertical="bottom" wrapText="0"/>
    </xf>
    <xf borderId="23" fillId="2" fontId="1" numFmtId="164" xfId="0" applyAlignment="1" applyBorder="1" applyFont="1" applyNumberFormat="1">
      <alignment horizontal="left" shrinkToFit="0" vertical="center" wrapText="0"/>
    </xf>
    <xf borderId="23" fillId="10" fontId="11" numFmtId="0" xfId="0" applyAlignment="1" applyBorder="1" applyFont="1">
      <alignment horizontal="center" shrinkToFit="0" vertical="bottom" wrapText="0"/>
    </xf>
    <xf borderId="24" fillId="5" fontId="15" numFmtId="0" xfId="0" applyAlignment="1" applyBorder="1" applyFont="1">
      <alignment horizontal="center" shrinkToFit="0" vertical="bottom" wrapText="0"/>
    </xf>
    <xf borderId="33" fillId="5" fontId="15" numFmtId="0" xfId="0" applyAlignment="1" applyBorder="1" applyFont="1">
      <alignment horizontal="center" shrinkToFit="0" vertical="bottom" wrapText="0"/>
    </xf>
    <xf borderId="34" fillId="5" fontId="15" numFmtId="0" xfId="0" applyAlignment="1" applyBorder="1" applyFont="1">
      <alignment horizontal="center" shrinkToFit="0" vertical="bottom" wrapText="0"/>
    </xf>
    <xf borderId="24" fillId="10" fontId="15" numFmtId="0" xfId="0" applyAlignment="1" applyBorder="1" applyFont="1">
      <alignment horizontal="center" shrinkToFit="0" vertical="bottom" wrapText="0"/>
    </xf>
    <xf borderId="33" fillId="10" fontId="15" numFmtId="0" xfId="0" applyAlignment="1" applyBorder="1" applyFont="1">
      <alignment horizontal="center" shrinkToFit="0" vertical="bottom" wrapText="0"/>
    </xf>
    <xf borderId="34" fillId="10" fontId="15" numFmtId="0" xfId="0" applyAlignment="1" applyBorder="1" applyFont="1">
      <alignment horizontal="center" shrinkToFit="0" vertical="bottom" wrapText="0"/>
    </xf>
    <xf borderId="21" fillId="10" fontId="15" numFmtId="0" xfId="0" applyAlignment="1" applyBorder="1" applyFont="1">
      <alignment horizontal="center" shrinkToFit="0" vertical="bottom" wrapText="0"/>
    </xf>
    <xf borderId="35" fillId="10" fontId="15" numFmtId="0" xfId="0" applyAlignment="1" applyBorder="1" applyFont="1">
      <alignment horizontal="center" shrinkToFit="0" vertical="bottom" wrapText="0"/>
    </xf>
    <xf borderId="36" fillId="0" fontId="13" numFmtId="0" xfId="0" applyBorder="1" applyFont="1"/>
    <xf borderId="23" fillId="11" fontId="11" numFmtId="0" xfId="0" applyAlignment="1" applyBorder="1" applyFill="1" applyFont="1">
      <alignment horizontal="center" shrinkToFit="0" vertical="bottom" wrapText="0"/>
    </xf>
    <xf borderId="4" fillId="10" fontId="15" numFmtId="0" xfId="0" applyAlignment="1" applyBorder="1" applyFont="1">
      <alignment horizontal="center" shrinkToFit="0" vertical="bottom" wrapText="0"/>
    </xf>
    <xf borderId="23" fillId="11" fontId="1" numFmtId="0" xfId="0" applyAlignment="1" applyBorder="1" applyFont="1">
      <alignment horizontal="center" shrinkToFit="0" vertical="bottom" wrapText="0"/>
    </xf>
    <xf borderId="37" fillId="10" fontId="15" numFmtId="0" xfId="0" applyAlignment="1" applyBorder="1" applyFont="1">
      <alignment horizontal="center" shrinkToFit="0" vertical="bottom" wrapText="0"/>
    </xf>
    <xf borderId="23" fillId="11" fontId="1" numFmtId="0" xfId="0" applyAlignment="1" applyBorder="1" applyFont="1">
      <alignment shrinkToFit="0" vertical="bottom" wrapText="0"/>
    </xf>
    <xf borderId="30" fillId="10" fontId="15" numFmtId="0" xfId="0" applyAlignment="1" applyBorder="1" applyFont="1">
      <alignment horizontal="center" shrinkToFit="0" vertical="bottom" wrapText="0"/>
    </xf>
    <xf borderId="23" fillId="11" fontId="1" numFmtId="0" xfId="0" applyAlignment="1" applyBorder="1" applyFont="1">
      <alignment horizontal="left" shrinkToFit="0" vertical="bottom" wrapText="0"/>
    </xf>
    <xf borderId="6" fillId="10" fontId="15" numFmtId="0" xfId="0" applyAlignment="1" applyBorder="1" applyFont="1">
      <alignment horizontal="center" shrinkToFit="0" vertical="bottom" wrapText="0"/>
    </xf>
    <xf borderId="23" fillId="11" fontId="1" numFmtId="164" xfId="0" applyAlignment="1" applyBorder="1" applyFont="1" applyNumberFormat="1">
      <alignment horizontal="left" shrinkToFit="0" vertical="center" wrapText="0"/>
    </xf>
    <xf borderId="10" fillId="10" fontId="15" numFmtId="0" xfId="0" applyAlignment="1" applyBorder="1" applyFont="1">
      <alignment horizontal="center" shrinkToFit="0" vertical="bottom" wrapText="0"/>
    </xf>
    <xf borderId="19" fillId="10" fontId="15" numFmtId="0" xfId="0" applyAlignment="1" applyBorder="1" applyFont="1">
      <alignment horizontal="center" shrinkToFit="0" vertical="bottom" wrapText="0"/>
    </xf>
    <xf borderId="23" fillId="5" fontId="15" numFmtId="0" xfId="0" applyAlignment="1" applyBorder="1" applyFont="1">
      <alignment horizontal="center" shrinkToFit="0" vertical="bottom" wrapText="0"/>
    </xf>
    <xf borderId="17" fillId="0" fontId="15" numFmtId="4" xfId="0" applyAlignment="1" applyBorder="1" applyFont="1" applyNumberFormat="1">
      <alignment shrinkToFit="0" vertical="bottom" wrapText="0"/>
    </xf>
    <xf borderId="17" fillId="0" fontId="15" numFmtId="166" xfId="0" applyAlignment="1" applyBorder="1" applyFont="1" applyNumberFormat="1">
      <alignment shrinkToFit="0" vertical="bottom" wrapText="0"/>
    </xf>
    <xf borderId="17" fillId="0" fontId="15" numFmtId="167" xfId="0" applyAlignment="1" applyBorder="1" applyFont="1" applyNumberFormat="1">
      <alignment shrinkToFit="0" vertical="bottom" wrapText="0"/>
    </xf>
    <xf borderId="23" fillId="0" fontId="1" numFmtId="0" xfId="0" applyAlignment="1" applyBorder="1" applyFont="1">
      <alignment horizontal="center" shrinkToFit="0" vertical="center" wrapText="1"/>
    </xf>
    <xf borderId="17" fillId="0" fontId="1" numFmtId="166" xfId="0" applyAlignment="1" applyBorder="1" applyFont="1" applyNumberFormat="1">
      <alignment shrinkToFit="0" vertical="bottom" wrapText="0"/>
    </xf>
    <xf borderId="23" fillId="12" fontId="11" numFmtId="0" xfId="0" applyAlignment="1" applyBorder="1" applyFill="1" applyFont="1">
      <alignment horizontal="center" shrinkToFit="0" vertical="bottom" wrapText="0"/>
    </xf>
    <xf borderId="23" fillId="12" fontId="1" numFmtId="0" xfId="0" applyAlignment="1" applyBorder="1" applyFont="1">
      <alignment horizontal="center" shrinkToFit="0" vertical="bottom" wrapText="0"/>
    </xf>
    <xf borderId="23" fillId="12" fontId="1" numFmtId="0" xfId="0" applyAlignment="1" applyBorder="1" applyFont="1">
      <alignment shrinkToFit="0" vertical="bottom" wrapText="0"/>
    </xf>
    <xf borderId="23" fillId="12" fontId="1" numFmtId="0" xfId="0" applyAlignment="1" applyBorder="1" applyFont="1">
      <alignment horizontal="left" shrinkToFit="0" vertical="bottom" wrapText="0"/>
    </xf>
    <xf borderId="23" fillId="12" fontId="1" numFmtId="164" xfId="0" applyAlignment="1" applyBorder="1" applyFont="1" applyNumberFormat="1">
      <alignment horizontal="left" shrinkToFit="0" vertical="center" wrapText="0"/>
    </xf>
    <xf borderId="23" fillId="0" fontId="15" numFmtId="4" xfId="0" applyAlignment="1" applyBorder="1" applyFont="1" applyNumberFormat="1">
      <alignment shrinkToFit="0" vertical="bottom" wrapText="0"/>
    </xf>
    <xf borderId="23" fillId="0" fontId="1" numFmtId="166" xfId="0" applyAlignment="1" applyBorder="1" applyFont="1" applyNumberFormat="1">
      <alignment shrinkToFit="0" vertical="bottom" wrapText="0"/>
    </xf>
    <xf borderId="23" fillId="5" fontId="19" numFmtId="0" xfId="0" applyAlignment="1" applyBorder="1" applyFont="1">
      <alignment shrinkToFit="0" vertical="bottom" wrapText="0"/>
    </xf>
    <xf borderId="4" fillId="5" fontId="19" numFmtId="0" xfId="0" applyAlignment="1" applyBorder="1" applyFont="1">
      <alignment shrinkToFit="0" vertical="bottom" wrapText="0"/>
    </xf>
    <xf borderId="12" fillId="5" fontId="16" numFmtId="0" xfId="0" applyAlignment="1" applyBorder="1" applyFont="1">
      <alignment shrinkToFit="0" vertical="bottom" wrapText="0"/>
    </xf>
    <xf borderId="37" fillId="5" fontId="16" numFmtId="0" xfId="0" applyAlignment="1" applyBorder="1" applyFont="1">
      <alignment shrinkToFit="0" vertical="bottom" wrapText="0"/>
    </xf>
    <xf borderId="4" fillId="5" fontId="16" numFmtId="0" xfId="0" applyAlignment="1" applyBorder="1" applyFont="1">
      <alignment shrinkToFit="0" vertical="bottom" wrapText="0"/>
    </xf>
    <xf borderId="37" fillId="5" fontId="1" numFmtId="0" xfId="0" applyAlignment="1" applyBorder="1" applyFont="1">
      <alignment shrinkToFit="0" vertical="bottom" wrapText="0"/>
    </xf>
    <xf borderId="14" fillId="5" fontId="19" numFmtId="0" xfId="0" applyAlignment="1" applyBorder="1" applyFont="1">
      <alignment horizontal="right" shrinkToFit="0" vertical="bottom" wrapText="0"/>
    </xf>
    <xf borderId="2" fillId="5" fontId="19" numFmtId="0" xfId="0" applyAlignment="1" applyBorder="1" applyFont="1">
      <alignment shrinkToFit="0" vertical="bottom" wrapText="0"/>
    </xf>
    <xf borderId="2" fillId="5" fontId="15" numFmtId="0" xfId="0" applyAlignment="1" applyBorder="1" applyFont="1">
      <alignment shrinkToFit="0" vertical="bottom" wrapText="0"/>
    </xf>
    <xf borderId="38" fillId="5" fontId="15" numFmtId="0" xfId="0" applyAlignment="1" applyBorder="1" applyFont="1">
      <alignment shrinkToFit="0" vertical="bottom" wrapText="0"/>
    </xf>
    <xf borderId="2" fillId="5" fontId="16" numFmtId="0" xfId="0" applyAlignment="1" applyBorder="1" applyFont="1">
      <alignment shrinkToFit="0" vertical="bottom" wrapText="0"/>
    </xf>
    <xf borderId="38" fillId="5" fontId="1" numFmtId="0" xfId="0" applyAlignment="1" applyBorder="1" applyFont="1">
      <alignment shrinkToFit="0" vertical="bottom" wrapText="0"/>
    </xf>
    <xf borderId="14" fillId="5" fontId="16" numFmtId="0" xfId="0" applyAlignment="1" applyBorder="1" applyFont="1">
      <alignment shrinkToFit="0" vertical="bottom" wrapText="0"/>
    </xf>
    <xf borderId="2" fillId="5" fontId="15" numFmtId="0" xfId="0" applyAlignment="1" applyBorder="1" applyFont="1">
      <alignment horizontal="center" shrinkToFit="0" vertical="bottom" wrapText="0"/>
    </xf>
    <xf borderId="17" fillId="0" fontId="1" numFmtId="0" xfId="0" applyAlignment="1" applyBorder="1" applyFont="1">
      <alignment horizontal="left" shrinkToFit="0" vertical="bottom" wrapText="0"/>
    </xf>
    <xf borderId="38" fillId="5" fontId="16" numFmtId="0" xfId="0" applyAlignment="1" applyBorder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23" fillId="13" fontId="11" numFmtId="0" xfId="0" applyAlignment="1" applyBorder="1" applyFill="1" applyFont="1">
      <alignment horizontal="center" shrinkToFit="0" vertical="bottom" wrapText="0"/>
    </xf>
    <xf borderId="2" fillId="13" fontId="18" numFmtId="0" xfId="0" applyAlignment="1" applyBorder="1" applyFont="1">
      <alignment horizontal="center" shrinkToFit="0" vertical="bottom" wrapText="0"/>
    </xf>
    <xf borderId="24" fillId="5" fontId="16" numFmtId="0" xfId="0" applyAlignment="1" applyBorder="1" applyFont="1">
      <alignment shrinkToFit="0" vertical="bottom" wrapText="0"/>
    </xf>
    <xf borderId="2" fillId="13" fontId="1" numFmtId="0" xfId="0" applyAlignment="1" applyBorder="1" applyFont="1">
      <alignment shrinkToFit="0" vertical="bottom" wrapText="0"/>
    </xf>
    <xf borderId="33" fillId="5" fontId="16" numFmtId="0" xfId="0" applyAlignment="1" applyBorder="1" applyFont="1">
      <alignment shrinkToFit="0" vertical="bottom" wrapText="0"/>
    </xf>
    <xf borderId="2" fillId="13" fontId="1" numFmtId="0" xfId="0" applyAlignment="1" applyBorder="1" applyFont="1">
      <alignment horizontal="left" shrinkToFit="0" vertical="bottom" wrapText="0"/>
    </xf>
    <xf borderId="34" fillId="5" fontId="16" numFmtId="0" xfId="0" applyAlignment="1" applyBorder="1" applyFont="1">
      <alignment shrinkToFit="0" vertical="bottom" wrapText="0"/>
    </xf>
    <xf borderId="23" fillId="13" fontId="1" numFmtId="164" xfId="0" applyAlignment="1" applyBorder="1" applyFont="1" applyNumberFormat="1">
      <alignment horizontal="left" shrinkToFit="0" vertical="center" wrapText="0"/>
    </xf>
    <xf borderId="33" fillId="5" fontId="15" numFmtId="0" xfId="0" applyAlignment="1" applyBorder="1" applyFont="1">
      <alignment shrinkToFit="0" vertical="bottom" wrapText="0"/>
    </xf>
    <xf borderId="23" fillId="13" fontId="1" numFmtId="0" xfId="0" applyAlignment="1" applyBorder="1" applyFont="1">
      <alignment shrinkToFit="0" vertical="bottom" wrapText="0"/>
    </xf>
    <xf borderId="34" fillId="5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horizontal="center" shrinkToFit="0" vertical="bottom" wrapText="0"/>
    </xf>
    <xf borderId="23" fillId="14" fontId="11" numFmtId="0" xfId="0" applyAlignment="1" applyBorder="1" applyFill="1" applyFont="1">
      <alignment horizontal="center" shrinkToFit="0" vertical="bottom" wrapText="0"/>
    </xf>
    <xf borderId="23" fillId="14" fontId="18" numFmtId="0" xfId="0" applyAlignment="1" applyBorder="1" applyFont="1">
      <alignment horizontal="center" shrinkToFit="0" vertical="bottom" wrapText="0"/>
    </xf>
    <xf borderId="7" fillId="0" fontId="15" numFmtId="0" xfId="0" applyAlignment="1" applyBorder="1" applyFont="1">
      <alignment horizontal="center" shrinkToFit="0" vertical="bottom" wrapText="0"/>
    </xf>
    <xf borderId="23" fillId="14" fontId="1" numFmtId="0" xfId="0" applyAlignment="1" applyBorder="1" applyFont="1">
      <alignment shrinkToFit="0" vertical="bottom" wrapText="0"/>
    </xf>
    <xf borderId="23" fillId="14" fontId="1" numFmtId="0" xfId="0" applyAlignment="1" applyBorder="1" applyFont="1">
      <alignment horizontal="left" shrinkToFit="0" vertical="bottom" wrapText="0"/>
    </xf>
    <xf borderId="23" fillId="14" fontId="11" numFmtId="0" xfId="0" applyAlignment="1" applyBorder="1" applyFont="1">
      <alignment horizontal="left" shrinkToFit="0" vertical="center" wrapText="1"/>
    </xf>
    <xf borderId="28" fillId="0" fontId="13" numFmtId="0" xfId="0" applyBorder="1" applyFont="1"/>
    <xf borderId="23" fillId="14" fontId="1" numFmtId="164" xfId="0" applyAlignment="1" applyBorder="1" applyFont="1" applyNumberFormat="1">
      <alignment horizontal="left" shrinkToFit="0" vertical="center" wrapText="0"/>
    </xf>
    <xf borderId="15" fillId="0" fontId="15" numFmtId="0" xfId="0" applyAlignment="1" applyBorder="1" applyFont="1">
      <alignment horizontal="center" shrinkToFit="0" vertical="bottom" wrapText="0"/>
    </xf>
    <xf borderId="15" fillId="0" fontId="13" numFmtId="0" xfId="0" applyBorder="1" applyFont="1"/>
    <xf borderId="23" fillId="0" fontId="18" numFmtId="0" xfId="0" applyAlignment="1" applyBorder="1" applyFont="1">
      <alignment horizontal="center" shrinkToFit="0" vertical="bottom" wrapText="0"/>
    </xf>
    <xf borderId="23" fillId="0" fontId="1" numFmtId="0" xfId="0" applyAlignment="1" applyBorder="1" applyFont="1">
      <alignment shrinkToFit="0" vertical="center" wrapText="0"/>
    </xf>
    <xf borderId="23" fillId="0" fontId="1" numFmtId="0" xfId="0" applyAlignment="1" applyBorder="1" applyFont="1">
      <alignment shrinkToFit="0" vertical="center" wrapText="1"/>
    </xf>
    <xf borderId="23" fillId="0" fontId="11" numFmtId="0" xfId="0" applyAlignment="1" applyBorder="1" applyFont="1">
      <alignment horizontal="left" shrinkToFit="0" vertical="bottom" wrapText="0"/>
    </xf>
    <xf borderId="23" fillId="0" fontId="20" numFmtId="0" xfId="0" applyAlignment="1" applyBorder="1" applyFont="1">
      <alignment horizontal="center" shrinkToFit="0" vertical="bottom" wrapText="0"/>
    </xf>
    <xf borderId="23" fillId="0" fontId="11" numFmtId="164" xfId="0" applyAlignment="1" applyBorder="1" applyFont="1" applyNumberFormat="1">
      <alignment horizontal="left" shrinkToFit="0" vertical="center" wrapText="0"/>
    </xf>
    <xf borderId="23" fillId="0" fontId="21" numFmtId="0" xfId="0" applyAlignment="1" applyBorder="1" applyFont="1">
      <alignment horizontal="center" shrinkToFit="0" vertical="bottom" wrapText="0"/>
    </xf>
    <xf borderId="23" fillId="0" fontId="22" numFmtId="0" xfId="0" applyAlignment="1" applyBorder="1" applyFont="1">
      <alignment shrinkToFit="0" vertical="center" wrapText="0"/>
    </xf>
    <xf borderId="9" fillId="0" fontId="15" numFmtId="0" xfId="0" applyAlignment="1" applyBorder="1" applyFont="1">
      <alignment shrinkToFit="0" vertical="bottom" wrapText="0"/>
    </xf>
    <xf borderId="9" fillId="0" fontId="15" numFmtId="166" xfId="0" applyAlignment="1" applyBorder="1" applyFont="1" applyNumberFormat="1">
      <alignment shrinkToFit="0" vertical="bottom" wrapText="0"/>
    </xf>
    <xf borderId="23" fillId="0" fontId="15" numFmtId="166" xfId="0" applyAlignment="1" applyBorder="1" applyFont="1" applyNumberFormat="1">
      <alignment shrinkToFit="0" vertical="bottom" wrapText="0"/>
    </xf>
    <xf borderId="28" fillId="0" fontId="1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externalLink" Target="externalLinks/externalLink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\\Si04_89/ajorge/WINDOWS/TEMP/PPTTvelasco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ARATULA"/>
      <sheetName val="INDICE"/>
      <sheetName val="5"/>
      <sheetName val="6.1"/>
      <sheetName val="Hoja19"/>
      <sheetName val="CRONOGRAMA"/>
      <sheetName val="6.2"/>
      <sheetName val="Gráfico1"/>
      <sheetName val="Gráfico2"/>
      <sheetName val="Hoja1"/>
      <sheetName val="7.1"/>
      <sheetName val="7.2"/>
      <sheetName val="7.3"/>
      <sheetName val="8"/>
      <sheetName val="9.1"/>
      <sheetName val="9.2"/>
      <sheetName val="10.1"/>
      <sheetName val="10.2"/>
      <sheetName val="10.3"/>
      <sheetName val="11"/>
      <sheetName val="13"/>
      <sheetName val="13.1"/>
      <sheetName val="13.2"/>
      <sheetName val="13.3"/>
      <sheetName val="13.4"/>
      <sheetName val="Datos"/>
      <sheetName val="INICIO"/>
      <sheetName val="Personal en Contrata"/>
      <sheetName val="Matriz"/>
      <sheetName val="US$98"/>
      <sheetName val="PPTTvelasco"/>
      <sheetName val="Total June Revenue Accrual"/>
      <sheetName val="6_1"/>
      <sheetName val="6_2"/>
      <sheetName val="7_1"/>
      <sheetName val="7_2"/>
      <sheetName val="7_3"/>
      <sheetName val="9_1"/>
      <sheetName val="9_2"/>
      <sheetName val="10_1"/>
      <sheetName val="10_2"/>
      <sheetName val="10_3"/>
      <sheetName val="13_1"/>
      <sheetName val="13_2"/>
      <sheetName val="13_3"/>
      <sheetName val="13_4"/>
      <sheetName val="Precios 31.12.06"/>
      <sheetName val="TC 2007"/>
      <sheetName val="Configurações Gerais"/>
      <sheetName val="Contractor Rates"/>
      <sheetName val="21310110"/>
      <sheetName val="C-P"/>
      <sheetName val="PAGE 1"/>
      <sheetName val="Parametros"/>
      <sheetName val="APPENDIX 2 EXHIBIT A"/>
      <sheetName val="GENERAL"/>
      <sheetName val="VALORIZACION"/>
      <sheetName val="PLANI"/>
      <sheetName val="Resumen"/>
      <sheetName val="TC Diario Sunat"/>
    </sheetNames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8.25"/>
    <col customWidth="1" min="2" max="2" width="6.25"/>
    <col customWidth="1" min="3" max="3" width="25.75"/>
    <col customWidth="1" min="4" max="4" width="21.38"/>
    <col customWidth="1" min="5" max="5" width="19.25"/>
    <col customWidth="1" min="6" max="6" width="16.0"/>
    <col customWidth="1" min="7" max="7" width="16.75"/>
    <col customWidth="1" min="8" max="8" width="28.25"/>
    <col customWidth="1" min="9" max="9" width="21.75"/>
    <col customWidth="1" hidden="1" min="10" max="10" width="22.13"/>
    <col customWidth="1" hidden="1" min="11" max="11" width="13.75"/>
    <col customWidth="1" hidden="1" min="12" max="12" width="15.13"/>
    <col customWidth="1" hidden="1" min="13" max="13" width="18.38"/>
    <col customWidth="1" hidden="1" min="14" max="14" width="19.13"/>
    <col customWidth="1" hidden="1" min="15" max="15" width="14.63"/>
    <col customWidth="1" hidden="1" min="16" max="16" width="19.75"/>
    <col customWidth="1" hidden="1" min="17" max="17" width="14.13"/>
    <col customWidth="1" hidden="1" min="18" max="18" width="23.75"/>
    <col customWidth="1" hidden="1" min="19" max="19" width="19.38"/>
    <col customWidth="1" hidden="1" min="20" max="20" width="24.0"/>
    <col customWidth="1" hidden="1" min="21" max="21" width="21.88"/>
    <col customWidth="1" hidden="1" min="22" max="22" width="27.63"/>
    <col customWidth="1" hidden="1" min="23" max="23" width="17.75"/>
    <col customWidth="1" hidden="1" min="24" max="25" width="19.0"/>
    <col customWidth="1" min="26" max="26" width="31.75"/>
    <col customWidth="1" min="27" max="27" width="29.88"/>
    <col customWidth="1" min="28" max="28" width="10.0"/>
  </cols>
  <sheetData>
    <row r="1" ht="18.0" customHeight="1">
      <c r="C1" s="1"/>
      <c r="D1" s="2" t="s">
        <v>1</v>
      </c>
      <c r="G1" s="4"/>
      <c r="I1" s="6"/>
    </row>
    <row r="2" ht="18.0" customHeight="1">
      <c r="C2" s="1"/>
      <c r="D2" s="2"/>
      <c r="E2" s="7"/>
      <c r="F2" s="7"/>
      <c r="G2" s="9"/>
      <c r="H2" s="7"/>
      <c r="I2" s="6"/>
    </row>
    <row r="3" ht="15.75" customHeight="1">
      <c r="C3" s="1"/>
      <c r="D3" s="7" t="s">
        <v>3</v>
      </c>
      <c r="E3" s="12"/>
      <c r="F3" s="12"/>
      <c r="G3" s="13"/>
      <c r="H3" s="12"/>
      <c r="I3" s="6"/>
    </row>
    <row r="4" ht="15.75" customHeight="1">
      <c r="C4" s="1"/>
      <c r="D4" s="7" t="s">
        <v>4</v>
      </c>
      <c r="E4" s="12"/>
      <c r="F4" s="12"/>
      <c r="G4" s="13"/>
      <c r="H4" s="12"/>
      <c r="I4" s="6"/>
    </row>
    <row r="5" ht="15.75" customHeight="1">
      <c r="C5" s="1"/>
      <c r="D5" s="7" t="s">
        <v>6</v>
      </c>
      <c r="E5" s="14"/>
      <c r="F5" s="14"/>
      <c r="G5" s="13" t="s">
        <v>7</v>
      </c>
      <c r="H5" s="14"/>
      <c r="I5" s="6"/>
    </row>
    <row r="6" ht="2.25" customHeight="1">
      <c r="C6" s="1"/>
      <c r="D6" s="15"/>
      <c r="E6" s="14"/>
      <c r="F6" s="14"/>
      <c r="G6" s="17"/>
      <c r="H6" s="14"/>
      <c r="I6" s="6"/>
    </row>
    <row r="7" ht="42.0" customHeight="1">
      <c r="C7" s="21" t="s">
        <v>9</v>
      </c>
      <c r="D7" s="24" t="s">
        <v>10</v>
      </c>
      <c r="E7" s="26" t="s">
        <v>12</v>
      </c>
      <c r="F7" s="28"/>
      <c r="G7" s="28"/>
      <c r="H7" s="30"/>
      <c r="I7" s="32"/>
      <c r="J7" s="23"/>
      <c r="K7" s="23"/>
      <c r="L7" s="23"/>
      <c r="M7" s="33"/>
      <c r="N7" s="23" t="s">
        <v>13</v>
      </c>
      <c r="O7" s="23"/>
      <c r="P7" s="35" t="s">
        <v>13</v>
      </c>
      <c r="Q7" s="33" t="s">
        <v>16</v>
      </c>
      <c r="R7" s="37"/>
      <c r="S7" s="23"/>
      <c r="T7" s="23" t="s">
        <v>17</v>
      </c>
      <c r="U7" s="23"/>
      <c r="V7" s="23" t="s">
        <v>18</v>
      </c>
      <c r="W7" s="23" t="s">
        <v>19</v>
      </c>
      <c r="X7" s="23" t="s">
        <v>20</v>
      </c>
      <c r="Y7" s="23" t="s">
        <v>22</v>
      </c>
    </row>
    <row r="8" ht="33.0" customHeight="1">
      <c r="C8" s="38"/>
      <c r="D8" s="40" t="s">
        <v>24</v>
      </c>
      <c r="E8" s="42"/>
      <c r="F8" s="42" t="s">
        <v>27</v>
      </c>
      <c r="G8" s="42" t="s">
        <v>28</v>
      </c>
      <c r="H8" s="42" t="s">
        <v>30</v>
      </c>
      <c r="I8" s="46" t="s">
        <v>31</v>
      </c>
      <c r="J8" s="47" t="s">
        <v>33</v>
      </c>
      <c r="K8" s="47" t="s">
        <v>36</v>
      </c>
      <c r="L8" s="47" t="s">
        <v>38</v>
      </c>
      <c r="M8" s="49" t="s">
        <v>39</v>
      </c>
      <c r="N8" s="47" t="s">
        <v>43</v>
      </c>
      <c r="O8" s="47" t="s">
        <v>44</v>
      </c>
      <c r="P8" s="50" t="s">
        <v>45</v>
      </c>
      <c r="Q8" s="23" t="s">
        <v>46</v>
      </c>
      <c r="R8" s="35" t="s">
        <v>47</v>
      </c>
      <c r="S8" s="52" t="s">
        <v>48</v>
      </c>
      <c r="T8" s="47" t="s">
        <v>50</v>
      </c>
      <c r="U8" s="47" t="s">
        <v>51</v>
      </c>
      <c r="V8" s="47" t="s">
        <v>52</v>
      </c>
      <c r="W8" s="47" t="s">
        <v>53</v>
      </c>
      <c r="X8" s="47" t="s">
        <v>54</v>
      </c>
      <c r="Y8" s="47" t="s">
        <v>55</v>
      </c>
      <c r="Z8" s="54" t="s">
        <v>59</v>
      </c>
      <c r="AA8" s="55"/>
      <c r="AB8" s="57"/>
    </row>
    <row r="9" ht="29.25" customHeight="1">
      <c r="C9" s="38"/>
      <c r="D9" s="40" t="s">
        <v>67</v>
      </c>
      <c r="E9" s="42" t="s">
        <v>68</v>
      </c>
      <c r="F9" s="42" t="s">
        <v>69</v>
      </c>
      <c r="G9" s="42" t="s">
        <v>69</v>
      </c>
      <c r="H9" s="42" t="s">
        <v>70</v>
      </c>
      <c r="I9" s="59"/>
      <c r="J9" s="47" t="s">
        <v>73</v>
      </c>
      <c r="K9" s="60"/>
      <c r="L9" s="49" t="s">
        <v>76</v>
      </c>
      <c r="M9" s="49" t="s">
        <v>78</v>
      </c>
      <c r="N9" s="47" t="s">
        <v>79</v>
      </c>
      <c r="O9" s="47" t="s">
        <v>80</v>
      </c>
      <c r="P9" s="50" t="s">
        <v>79</v>
      </c>
      <c r="Q9" s="47" t="s">
        <v>81</v>
      </c>
      <c r="R9" s="50" t="s">
        <v>83</v>
      </c>
      <c r="S9" s="52" t="s">
        <v>83</v>
      </c>
      <c r="T9" s="47" t="s">
        <v>85</v>
      </c>
      <c r="U9" s="47" t="s">
        <v>86</v>
      </c>
      <c r="V9" s="47" t="s">
        <v>90</v>
      </c>
      <c r="W9" s="47" t="s">
        <v>91</v>
      </c>
      <c r="X9" s="47" t="s">
        <v>92</v>
      </c>
      <c r="Y9" s="47" t="s">
        <v>94</v>
      </c>
      <c r="Z9" s="64"/>
      <c r="AA9" s="65" t="s">
        <v>97</v>
      </c>
      <c r="AB9" s="67"/>
    </row>
    <row r="10" ht="30.0" customHeight="1">
      <c r="C10" s="70" t="s">
        <v>104</v>
      </c>
      <c r="D10" s="72" t="s">
        <v>103</v>
      </c>
      <c r="E10" s="75"/>
      <c r="F10" s="78" t="s">
        <v>105</v>
      </c>
      <c r="G10" s="78" t="s">
        <v>105</v>
      </c>
      <c r="H10" s="78" t="s">
        <v>110</v>
      </c>
      <c r="I10" s="80"/>
      <c r="J10" s="71"/>
      <c r="K10" s="71"/>
      <c r="L10" s="76" t="s">
        <v>109</v>
      </c>
      <c r="M10" s="71"/>
      <c r="N10" s="68" t="s">
        <v>113</v>
      </c>
      <c r="O10" s="71"/>
      <c r="P10" s="83" t="s">
        <v>113</v>
      </c>
      <c r="Q10" s="71"/>
      <c r="R10" s="83" t="s">
        <v>117</v>
      </c>
      <c r="S10" s="86" t="s">
        <v>118</v>
      </c>
      <c r="T10" s="68" t="s">
        <v>120</v>
      </c>
      <c r="U10" s="71"/>
      <c r="V10" s="68" t="s">
        <v>122</v>
      </c>
      <c r="W10" s="68" t="s">
        <v>123</v>
      </c>
      <c r="X10" s="71"/>
      <c r="Y10" s="68" t="s">
        <v>118</v>
      </c>
      <c r="Z10" s="89"/>
      <c r="AA10" s="90"/>
      <c r="AB10" s="67"/>
    </row>
    <row r="11" ht="30.0" customHeight="1">
      <c r="B11" s="92">
        <v>1.0</v>
      </c>
      <c r="C11" s="94" t="s">
        <v>129</v>
      </c>
      <c r="D11" s="96" t="s">
        <v>130</v>
      </c>
      <c r="E11" s="98" t="s">
        <v>132</v>
      </c>
      <c r="F11" s="98" t="s">
        <v>133</v>
      </c>
      <c r="G11" s="98"/>
      <c r="H11" s="98" t="s">
        <v>134</v>
      </c>
      <c r="I11" s="101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92"/>
      <c r="AA11" s="92"/>
    </row>
    <row r="12" ht="30.0" customHeight="1">
      <c r="B12" s="92">
        <v>2.0</v>
      </c>
      <c r="C12" s="94" t="s">
        <v>136</v>
      </c>
      <c r="D12" s="94" t="s">
        <v>137</v>
      </c>
      <c r="E12" s="92" t="s">
        <v>138</v>
      </c>
      <c r="F12" s="92" t="s">
        <v>139</v>
      </c>
      <c r="G12" s="106"/>
      <c r="H12" s="92" t="s">
        <v>140</v>
      </c>
      <c r="I12" s="101" t="s">
        <v>141</v>
      </c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 t="s">
        <v>142</v>
      </c>
      <c r="AA12" s="92"/>
    </row>
    <row r="13" ht="30.0" customHeight="1">
      <c r="B13" s="92">
        <v>3.0</v>
      </c>
      <c r="C13" s="1" t="s">
        <v>143</v>
      </c>
      <c r="D13" s="94" t="s">
        <v>144</v>
      </c>
      <c r="E13" s="92" t="s">
        <v>138</v>
      </c>
      <c r="F13" s="92" t="s">
        <v>139</v>
      </c>
      <c r="G13" s="106"/>
      <c r="H13" s="92"/>
      <c r="I13" s="101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 t="s">
        <v>142</v>
      </c>
      <c r="AA13" s="92"/>
    </row>
    <row r="14" ht="30.0" customHeight="1">
      <c r="B14" s="92">
        <v>4.0</v>
      </c>
      <c r="C14" s="94" t="s">
        <v>145</v>
      </c>
      <c r="D14" s="94" t="s">
        <v>146</v>
      </c>
      <c r="E14" s="92" t="s">
        <v>132</v>
      </c>
      <c r="F14" s="92" t="s">
        <v>133</v>
      </c>
      <c r="G14" s="106" t="s">
        <v>147</v>
      </c>
      <c r="H14" s="92" t="s">
        <v>148</v>
      </c>
      <c r="I14" s="101" t="s">
        <v>149</v>
      </c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 t="s">
        <v>142</v>
      </c>
      <c r="AA14" s="92" t="s">
        <v>151</v>
      </c>
    </row>
    <row r="15" ht="30.0" customHeight="1">
      <c r="B15" s="92">
        <v>5.0</v>
      </c>
      <c r="C15" s="94" t="s">
        <v>152</v>
      </c>
      <c r="D15" s="94" t="s">
        <v>154</v>
      </c>
      <c r="E15" s="92" t="s">
        <v>132</v>
      </c>
      <c r="F15" s="92" t="s">
        <v>133</v>
      </c>
      <c r="G15" s="106" t="s">
        <v>155</v>
      </c>
      <c r="H15" s="92" t="s">
        <v>156</v>
      </c>
      <c r="I15" s="101" t="s">
        <v>157</v>
      </c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 t="s">
        <v>142</v>
      </c>
      <c r="AA15" s="92" t="s">
        <v>158</v>
      </c>
    </row>
    <row r="16" ht="30.0" customHeight="1">
      <c r="B16" s="92">
        <v>6.0</v>
      </c>
      <c r="C16" s="94" t="s">
        <v>159</v>
      </c>
      <c r="D16" s="94" t="s">
        <v>160</v>
      </c>
      <c r="E16" s="92" t="s">
        <v>132</v>
      </c>
      <c r="F16" s="92" t="s">
        <v>133</v>
      </c>
      <c r="G16" s="106" t="s">
        <v>161</v>
      </c>
      <c r="H16" s="92" t="s">
        <v>156</v>
      </c>
      <c r="I16" s="101" t="s">
        <v>162</v>
      </c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 t="s">
        <v>142</v>
      </c>
      <c r="AA16" s="92" t="s">
        <v>151</v>
      </c>
    </row>
    <row r="17" ht="30.0" customHeight="1">
      <c r="B17" s="92">
        <v>7.0</v>
      </c>
      <c r="C17" s="106" t="s">
        <v>163</v>
      </c>
      <c r="D17" s="94" t="s">
        <v>164</v>
      </c>
      <c r="E17" s="114" t="s">
        <v>132</v>
      </c>
      <c r="F17" s="114" t="s">
        <v>165</v>
      </c>
      <c r="G17" s="106"/>
      <c r="H17" s="92"/>
      <c r="I17" s="101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</row>
    <row r="18" ht="30.0" customHeight="1">
      <c r="B18" s="92">
        <v>8.0</v>
      </c>
      <c r="C18" s="115" t="s">
        <v>166</v>
      </c>
      <c r="D18" s="94" t="s">
        <v>167</v>
      </c>
      <c r="E18" s="92" t="s">
        <v>138</v>
      </c>
      <c r="F18" s="92" t="s">
        <v>169</v>
      </c>
      <c r="G18" s="106" t="s">
        <v>170</v>
      </c>
      <c r="H18" s="92" t="s">
        <v>140</v>
      </c>
      <c r="I18" s="101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 t="s">
        <v>171</v>
      </c>
      <c r="AA18" s="92"/>
    </row>
    <row r="19" ht="30.0" customHeight="1">
      <c r="B19" s="92">
        <v>9.0</v>
      </c>
      <c r="C19" s="94" t="s">
        <v>172</v>
      </c>
      <c r="D19" s="94" t="s">
        <v>173</v>
      </c>
      <c r="E19" s="92" t="s">
        <v>138</v>
      </c>
      <c r="F19" s="92" t="s">
        <v>174</v>
      </c>
      <c r="G19" s="106"/>
      <c r="H19" s="92" t="s">
        <v>175</v>
      </c>
      <c r="I19" s="101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 t="s">
        <v>171</v>
      </c>
      <c r="AA19" s="117" t="s">
        <v>176</v>
      </c>
    </row>
    <row r="20" ht="30.0" customHeight="1">
      <c r="B20" s="92">
        <v>10.0</v>
      </c>
      <c r="C20" s="94" t="s">
        <v>177</v>
      </c>
      <c r="D20" s="94" t="s">
        <v>178</v>
      </c>
      <c r="E20" s="92" t="s">
        <v>132</v>
      </c>
      <c r="F20" s="92" t="s">
        <v>133</v>
      </c>
      <c r="G20" s="106" t="s">
        <v>179</v>
      </c>
      <c r="H20" s="92" t="s">
        <v>180</v>
      </c>
      <c r="I20" s="101" t="s">
        <v>181</v>
      </c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 t="s">
        <v>142</v>
      </c>
      <c r="AA20" s="92" t="s">
        <v>151</v>
      </c>
    </row>
    <row r="21" ht="30.0" customHeight="1">
      <c r="B21" s="92">
        <v>11.0</v>
      </c>
      <c r="C21" s="94" t="s">
        <v>182</v>
      </c>
      <c r="D21" s="94" t="s">
        <v>183</v>
      </c>
      <c r="E21" s="92" t="s">
        <v>132</v>
      </c>
      <c r="F21" s="92" t="s">
        <v>165</v>
      </c>
      <c r="G21" s="106" t="s">
        <v>184</v>
      </c>
      <c r="H21" s="92" t="s">
        <v>185</v>
      </c>
      <c r="I21" s="101" t="s">
        <v>186</v>
      </c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 t="s">
        <v>187</v>
      </c>
      <c r="AA21" s="92" t="s">
        <v>151</v>
      </c>
    </row>
    <row r="22" ht="30.0" customHeight="1">
      <c r="B22" s="92"/>
      <c r="C22" s="121" t="s">
        <v>188</v>
      </c>
      <c r="D22" s="122"/>
      <c r="E22" s="125"/>
      <c r="F22" s="125"/>
      <c r="G22" s="127"/>
      <c r="H22" s="125"/>
      <c r="I22" s="128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</row>
    <row r="23" ht="30.0" customHeight="1">
      <c r="B23" s="92">
        <v>12.0</v>
      </c>
      <c r="C23" s="94" t="s">
        <v>190</v>
      </c>
      <c r="D23" s="94" t="s">
        <v>191</v>
      </c>
      <c r="E23" s="92" t="s">
        <v>132</v>
      </c>
      <c r="F23" s="92" t="s">
        <v>165</v>
      </c>
      <c r="G23" s="106" t="s">
        <v>192</v>
      </c>
      <c r="H23" s="92" t="s">
        <v>193</v>
      </c>
      <c r="I23" s="101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 t="s">
        <v>194</v>
      </c>
      <c r="AA23" s="92" t="s">
        <v>151</v>
      </c>
    </row>
    <row r="24" ht="30.0" customHeight="1">
      <c r="B24" s="92">
        <v>13.0</v>
      </c>
      <c r="C24" s="94" t="s">
        <v>196</v>
      </c>
      <c r="D24" s="94" t="s">
        <v>197</v>
      </c>
      <c r="E24" s="92" t="s">
        <v>138</v>
      </c>
      <c r="F24" s="92" t="s">
        <v>198</v>
      </c>
      <c r="G24" s="106"/>
      <c r="H24" s="92" t="s">
        <v>185</v>
      </c>
      <c r="I24" s="101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 t="s">
        <v>142</v>
      </c>
      <c r="AA24" s="92"/>
    </row>
    <row r="25" ht="30.0" customHeight="1">
      <c r="B25" s="92">
        <v>14.0</v>
      </c>
      <c r="C25" s="94" t="s">
        <v>199</v>
      </c>
      <c r="D25" s="94" t="s">
        <v>200</v>
      </c>
      <c r="E25" s="92" t="s">
        <v>138</v>
      </c>
      <c r="F25" s="92" t="s">
        <v>201</v>
      </c>
      <c r="G25" s="106" t="s">
        <v>202</v>
      </c>
      <c r="H25" s="92" t="s">
        <v>203</v>
      </c>
      <c r="I25" s="101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 t="s">
        <v>171</v>
      </c>
      <c r="AA25" s="92"/>
    </row>
    <row r="26" ht="30.0" customHeight="1">
      <c r="B26" s="92">
        <v>15.0</v>
      </c>
      <c r="C26" s="94" t="s">
        <v>206</v>
      </c>
      <c r="D26" s="94" t="s">
        <v>207</v>
      </c>
      <c r="E26" s="92" t="s">
        <v>132</v>
      </c>
      <c r="F26" s="92" t="s">
        <v>133</v>
      </c>
      <c r="G26" s="106" t="s">
        <v>208</v>
      </c>
      <c r="H26" s="92" t="s">
        <v>180</v>
      </c>
      <c r="I26" s="101" t="s">
        <v>129</v>
      </c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 t="s">
        <v>142</v>
      </c>
      <c r="AA26" s="92"/>
    </row>
    <row r="27" ht="38.25" customHeight="1">
      <c r="B27" s="92">
        <v>16.0</v>
      </c>
      <c r="C27" s="94" t="s">
        <v>211</v>
      </c>
      <c r="D27" s="94" t="s">
        <v>212</v>
      </c>
      <c r="E27" s="92" t="s">
        <v>132</v>
      </c>
      <c r="F27" s="92" t="s">
        <v>214</v>
      </c>
      <c r="G27" s="106" t="s">
        <v>215</v>
      </c>
      <c r="H27" s="92" t="s">
        <v>216</v>
      </c>
      <c r="I27" s="136" t="s">
        <v>217</v>
      </c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 t="s">
        <v>142</v>
      </c>
      <c r="AA27" s="92"/>
    </row>
    <row r="28" ht="30.0" customHeight="1">
      <c r="B28" s="92"/>
      <c r="C28" s="137" t="s">
        <v>224</v>
      </c>
      <c r="D28" s="138"/>
      <c r="E28" s="139"/>
      <c r="F28" s="139"/>
      <c r="G28" s="141"/>
      <c r="H28" s="139"/>
      <c r="I28" s="142"/>
      <c r="J28" s="139"/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</row>
    <row r="29" ht="30.0" customHeight="1">
      <c r="B29" s="92">
        <v>17.0</v>
      </c>
      <c r="C29" s="94" t="s">
        <v>230</v>
      </c>
      <c r="D29" s="94" t="s">
        <v>231</v>
      </c>
      <c r="E29" s="92" t="s">
        <v>138</v>
      </c>
      <c r="F29" s="92" t="s">
        <v>139</v>
      </c>
      <c r="G29" s="106"/>
      <c r="H29" s="92"/>
      <c r="I29" s="101" t="s">
        <v>232</v>
      </c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 t="s">
        <v>142</v>
      </c>
      <c r="AA29" s="92"/>
    </row>
    <row r="30" ht="30.0" customHeight="1">
      <c r="B30" s="92">
        <v>18.0</v>
      </c>
      <c r="C30" s="94" t="s">
        <v>234</v>
      </c>
      <c r="D30" s="94" t="s">
        <v>235</v>
      </c>
      <c r="E30" s="92" t="s">
        <v>132</v>
      </c>
      <c r="F30" s="92" t="s">
        <v>165</v>
      </c>
      <c r="G30" s="106" t="s">
        <v>236</v>
      </c>
      <c r="H30" s="92" t="s">
        <v>237</v>
      </c>
      <c r="I30" s="101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 t="s">
        <v>142</v>
      </c>
      <c r="AA30" s="92" t="s">
        <v>151</v>
      </c>
    </row>
    <row r="31" ht="30.0" customHeight="1">
      <c r="B31" s="92">
        <v>19.0</v>
      </c>
      <c r="C31" s="94" t="s">
        <v>239</v>
      </c>
      <c r="D31" s="94" t="s">
        <v>240</v>
      </c>
      <c r="E31" s="92" t="s">
        <v>132</v>
      </c>
      <c r="F31" s="92" t="s">
        <v>241</v>
      </c>
      <c r="G31" s="106" t="s">
        <v>242</v>
      </c>
      <c r="H31" s="92" t="s">
        <v>243</v>
      </c>
      <c r="I31" s="101" t="s">
        <v>244</v>
      </c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 t="s">
        <v>142</v>
      </c>
      <c r="AA31" s="92" t="s">
        <v>151</v>
      </c>
    </row>
    <row r="32" ht="30.0" customHeight="1">
      <c r="B32" s="92">
        <v>20.0</v>
      </c>
      <c r="C32" s="147" t="s">
        <v>245</v>
      </c>
      <c r="D32" s="94" t="s">
        <v>246</v>
      </c>
      <c r="E32" s="92" t="s">
        <v>138</v>
      </c>
      <c r="F32" s="92" t="s">
        <v>201</v>
      </c>
      <c r="G32" s="106"/>
      <c r="H32" s="92"/>
      <c r="I32" s="101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 t="s">
        <v>247</v>
      </c>
      <c r="AA32" s="92"/>
    </row>
    <row r="33" ht="30.0" customHeight="1">
      <c r="B33" s="92">
        <v>21.0</v>
      </c>
      <c r="C33" s="94" t="s">
        <v>248</v>
      </c>
      <c r="D33" s="94" t="s">
        <v>249</v>
      </c>
      <c r="E33" s="92" t="s">
        <v>138</v>
      </c>
      <c r="F33" s="92" t="s">
        <v>201</v>
      </c>
      <c r="G33" s="106"/>
      <c r="H33" s="92"/>
      <c r="I33" s="101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 t="s">
        <v>250</v>
      </c>
      <c r="AA33" s="92"/>
    </row>
    <row r="34" ht="30.0" customHeight="1">
      <c r="B34" s="92">
        <v>22.0</v>
      </c>
      <c r="C34" s="94" t="s">
        <v>251</v>
      </c>
      <c r="D34" s="94" t="s">
        <v>252</v>
      </c>
      <c r="E34" s="92" t="s">
        <v>132</v>
      </c>
      <c r="F34" s="92" t="s">
        <v>133</v>
      </c>
      <c r="G34" s="106" t="s">
        <v>147</v>
      </c>
      <c r="H34" s="92"/>
      <c r="I34" s="101" t="s">
        <v>253</v>
      </c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 t="s">
        <v>142</v>
      </c>
      <c r="AA34" s="92" t="s">
        <v>151</v>
      </c>
    </row>
    <row r="35" ht="30.0" customHeight="1">
      <c r="B35" s="92">
        <v>23.0</v>
      </c>
      <c r="C35" s="94" t="s">
        <v>254</v>
      </c>
      <c r="D35" s="94" t="s">
        <v>255</v>
      </c>
      <c r="E35" s="92" t="s">
        <v>132</v>
      </c>
      <c r="F35" s="92" t="s">
        <v>133</v>
      </c>
      <c r="G35" s="106">
        <v>20392.0</v>
      </c>
      <c r="H35" s="92" t="s">
        <v>148</v>
      </c>
      <c r="I35" s="101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 t="s">
        <v>142</v>
      </c>
      <c r="AA35" s="92" t="s">
        <v>151</v>
      </c>
    </row>
    <row r="36" ht="30.0" customHeight="1">
      <c r="B36" s="92">
        <v>24.0</v>
      </c>
      <c r="C36" s="94" t="s">
        <v>256</v>
      </c>
      <c r="D36" s="94" t="s">
        <v>257</v>
      </c>
      <c r="E36" s="92" t="s">
        <v>132</v>
      </c>
      <c r="F36" s="92" t="s">
        <v>258</v>
      </c>
      <c r="G36" s="106" t="s">
        <v>259</v>
      </c>
      <c r="H36" s="92" t="s">
        <v>260</v>
      </c>
      <c r="I36" s="101" t="s">
        <v>261</v>
      </c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 t="s">
        <v>142</v>
      </c>
      <c r="AA36" s="92" t="s">
        <v>151</v>
      </c>
    </row>
    <row r="37" ht="30.0" customHeight="1">
      <c r="B37" s="92">
        <v>25.0</v>
      </c>
      <c r="C37" s="94" t="s">
        <v>262</v>
      </c>
      <c r="D37" s="94" t="s">
        <v>263</v>
      </c>
      <c r="E37" s="92" t="s">
        <v>132</v>
      </c>
      <c r="F37" s="92" t="s">
        <v>264</v>
      </c>
      <c r="G37" s="106" t="s">
        <v>265</v>
      </c>
      <c r="H37" s="92"/>
      <c r="I37" s="101" t="s">
        <v>266</v>
      </c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 t="s">
        <v>142</v>
      </c>
      <c r="AA37" s="92" t="s">
        <v>151</v>
      </c>
    </row>
    <row r="38" ht="30.0" customHeight="1">
      <c r="B38" s="92">
        <v>26.0</v>
      </c>
      <c r="C38" s="94" t="s">
        <v>267</v>
      </c>
      <c r="D38" s="94" t="s">
        <v>268</v>
      </c>
      <c r="E38" s="92" t="s">
        <v>138</v>
      </c>
      <c r="F38" s="92" t="s">
        <v>139</v>
      </c>
      <c r="G38" s="106"/>
      <c r="H38" s="92" t="s">
        <v>269</v>
      </c>
      <c r="I38" s="101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 t="s">
        <v>142</v>
      </c>
      <c r="AA38" s="92"/>
    </row>
    <row r="39" ht="30.0" customHeight="1">
      <c r="B39" s="92">
        <v>27.0</v>
      </c>
      <c r="C39" s="94" t="s">
        <v>270</v>
      </c>
      <c r="D39" s="94" t="s">
        <v>271</v>
      </c>
      <c r="E39" s="92" t="s">
        <v>132</v>
      </c>
      <c r="F39" s="92" t="s">
        <v>133</v>
      </c>
      <c r="G39" s="106" t="s">
        <v>272</v>
      </c>
      <c r="H39" s="92" t="s">
        <v>180</v>
      </c>
      <c r="I39" s="101" t="s">
        <v>273</v>
      </c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 t="s">
        <v>142</v>
      </c>
      <c r="AA39" s="92" t="s">
        <v>151</v>
      </c>
    </row>
    <row r="40" ht="30.0" customHeight="1">
      <c r="B40" s="92">
        <v>28.0</v>
      </c>
      <c r="C40" s="94" t="s">
        <v>274</v>
      </c>
      <c r="D40" s="94" t="s">
        <v>275</v>
      </c>
      <c r="E40" s="92" t="s">
        <v>138</v>
      </c>
      <c r="F40" s="92" t="s">
        <v>276</v>
      </c>
      <c r="G40" s="106" t="s">
        <v>277</v>
      </c>
      <c r="H40" s="92" t="s">
        <v>140</v>
      </c>
      <c r="I40" s="101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 t="s">
        <v>278</v>
      </c>
      <c r="AA40" s="92"/>
    </row>
    <row r="41" ht="30.0" customHeight="1">
      <c r="B41" s="92">
        <v>29.0</v>
      </c>
      <c r="C41" s="94" t="s">
        <v>279</v>
      </c>
      <c r="D41" s="94" t="s">
        <v>280</v>
      </c>
      <c r="E41" s="92" t="s">
        <v>132</v>
      </c>
      <c r="F41" s="92" t="s">
        <v>281</v>
      </c>
      <c r="G41" s="106" t="s">
        <v>282</v>
      </c>
      <c r="H41" s="92"/>
      <c r="I41" s="101" t="s">
        <v>283</v>
      </c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 t="s">
        <v>142</v>
      </c>
      <c r="AA41" s="92" t="s">
        <v>284</v>
      </c>
    </row>
    <row r="42" ht="30.0" customHeight="1">
      <c r="B42" s="92"/>
      <c r="C42" s="148" t="s">
        <v>285</v>
      </c>
      <c r="D42" s="149"/>
      <c r="E42" s="150"/>
      <c r="F42" s="150"/>
      <c r="G42" s="151"/>
      <c r="H42" s="150"/>
      <c r="I42" s="152"/>
      <c r="J42" s="150"/>
      <c r="K42" s="150"/>
      <c r="L42" s="150"/>
      <c r="M42" s="150"/>
      <c r="N42" s="150"/>
      <c r="O42" s="150"/>
      <c r="P42" s="150"/>
      <c r="Q42" s="150"/>
      <c r="R42" s="150"/>
      <c r="S42" s="150"/>
      <c r="T42" s="150"/>
      <c r="U42" s="150"/>
      <c r="V42" s="150"/>
      <c r="W42" s="150"/>
      <c r="X42" s="150"/>
      <c r="Y42" s="150"/>
      <c r="Z42" s="150"/>
      <c r="AA42" s="150"/>
    </row>
    <row r="43" ht="30.0" customHeight="1">
      <c r="B43" s="92">
        <v>30.0</v>
      </c>
      <c r="C43" s="94" t="s">
        <v>286</v>
      </c>
      <c r="D43" s="94" t="s">
        <v>287</v>
      </c>
      <c r="E43" s="92" t="s">
        <v>132</v>
      </c>
      <c r="F43" s="92" t="s">
        <v>165</v>
      </c>
      <c r="G43" s="106" t="s">
        <v>288</v>
      </c>
      <c r="H43" s="92" t="s">
        <v>289</v>
      </c>
      <c r="I43" s="101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 t="s">
        <v>151</v>
      </c>
    </row>
    <row r="44" ht="30.0" customHeight="1">
      <c r="B44" s="92">
        <v>31.0</v>
      </c>
      <c r="C44" s="94" t="s">
        <v>290</v>
      </c>
      <c r="D44" s="94" t="s">
        <v>291</v>
      </c>
      <c r="E44" s="92" t="s">
        <v>132</v>
      </c>
      <c r="F44" s="92"/>
      <c r="G44" s="106"/>
      <c r="H44" s="92"/>
      <c r="I44" s="101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 t="s">
        <v>151</v>
      </c>
    </row>
    <row r="45" ht="30.0" customHeight="1">
      <c r="B45" s="92">
        <v>32.0</v>
      </c>
      <c r="C45" s="94" t="s">
        <v>292</v>
      </c>
      <c r="D45" s="94" t="s">
        <v>293</v>
      </c>
      <c r="E45" s="92" t="s">
        <v>132</v>
      </c>
      <c r="F45" s="92" t="s">
        <v>133</v>
      </c>
      <c r="G45" s="106" t="s">
        <v>294</v>
      </c>
      <c r="H45" s="92" t="s">
        <v>237</v>
      </c>
      <c r="I45" s="101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 t="s">
        <v>151</v>
      </c>
    </row>
    <row r="46" ht="30.0" customHeight="1">
      <c r="B46" s="92">
        <v>33.0</v>
      </c>
      <c r="C46" s="94" t="s">
        <v>295</v>
      </c>
      <c r="D46" s="94" t="s">
        <v>296</v>
      </c>
      <c r="E46" s="92" t="s">
        <v>132</v>
      </c>
      <c r="F46" s="92" t="s">
        <v>133</v>
      </c>
      <c r="G46" s="106">
        <v>20384.0</v>
      </c>
      <c r="H46" s="92" t="s">
        <v>148</v>
      </c>
      <c r="I46" s="101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 t="s">
        <v>297</v>
      </c>
      <c r="AA46" s="92" t="s">
        <v>151</v>
      </c>
    </row>
    <row r="47" ht="30.0" customHeight="1">
      <c r="B47" s="92">
        <v>34.0</v>
      </c>
      <c r="C47" s="94" t="s">
        <v>298</v>
      </c>
      <c r="D47" s="94" t="s">
        <v>299</v>
      </c>
      <c r="E47" s="92" t="s">
        <v>138</v>
      </c>
      <c r="F47" s="92" t="s">
        <v>300</v>
      </c>
      <c r="G47" s="106"/>
      <c r="H47" s="92" t="s">
        <v>175</v>
      </c>
      <c r="I47" s="101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 t="s">
        <v>171</v>
      </c>
      <c r="AA47" s="92"/>
    </row>
    <row r="48" ht="30.0" customHeight="1">
      <c r="B48" s="92">
        <v>35.0</v>
      </c>
      <c r="C48" s="94" t="s">
        <v>301</v>
      </c>
      <c r="D48" s="94" t="s">
        <v>301</v>
      </c>
      <c r="E48" s="92" t="s">
        <v>138</v>
      </c>
      <c r="F48" s="92" t="s">
        <v>302</v>
      </c>
      <c r="G48" s="106" t="s">
        <v>303</v>
      </c>
      <c r="H48" s="153" t="s">
        <v>304</v>
      </c>
      <c r="I48" s="101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</row>
    <row r="49" ht="30.0" customHeight="1">
      <c r="B49" s="92">
        <v>36.0</v>
      </c>
      <c r="C49" s="94" t="s">
        <v>305</v>
      </c>
      <c r="D49" s="94" t="s">
        <v>306</v>
      </c>
      <c r="E49" s="92" t="s">
        <v>132</v>
      </c>
      <c r="F49" s="92" t="s">
        <v>165</v>
      </c>
      <c r="G49" s="106" t="s">
        <v>307</v>
      </c>
      <c r="H49" s="92" t="s">
        <v>308</v>
      </c>
      <c r="I49" s="101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 t="s">
        <v>142</v>
      </c>
      <c r="AA49" s="92" t="s">
        <v>151</v>
      </c>
    </row>
    <row r="50" ht="30.0" customHeight="1">
      <c r="B50" s="92">
        <v>37.0</v>
      </c>
      <c r="C50" s="94" t="s">
        <v>309</v>
      </c>
      <c r="D50" s="94" t="s">
        <v>310</v>
      </c>
      <c r="E50" s="92" t="s">
        <v>138</v>
      </c>
      <c r="F50" s="92" t="s">
        <v>276</v>
      </c>
      <c r="G50" s="106" t="s">
        <v>311</v>
      </c>
      <c r="H50" s="92" t="s">
        <v>140</v>
      </c>
      <c r="I50" s="101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 t="s">
        <v>171</v>
      </c>
      <c r="AA50" s="92"/>
    </row>
    <row r="51" ht="30.0" customHeight="1">
      <c r="B51" s="92">
        <v>38.0</v>
      </c>
      <c r="C51" s="94" t="s">
        <v>312</v>
      </c>
      <c r="D51" s="94" t="s">
        <v>313</v>
      </c>
      <c r="E51" s="92" t="s">
        <v>132</v>
      </c>
      <c r="F51" s="92" t="s">
        <v>314</v>
      </c>
      <c r="G51" s="106" t="s">
        <v>315</v>
      </c>
      <c r="H51" s="92" t="s">
        <v>148</v>
      </c>
      <c r="I51" s="101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 t="s">
        <v>297</v>
      </c>
      <c r="AA51" s="92" t="s">
        <v>151</v>
      </c>
    </row>
    <row r="52" ht="30.0" customHeight="1">
      <c r="B52" s="92">
        <v>39.0</v>
      </c>
      <c r="C52" s="94" t="s">
        <v>316</v>
      </c>
      <c r="D52" s="94" t="s">
        <v>317</v>
      </c>
      <c r="E52" s="92" t="s">
        <v>138</v>
      </c>
      <c r="F52" s="92" t="s">
        <v>276</v>
      </c>
      <c r="G52" s="106" t="s">
        <v>202</v>
      </c>
      <c r="H52" s="92" t="s">
        <v>140</v>
      </c>
      <c r="I52" s="101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154" t="s">
        <v>318</v>
      </c>
      <c r="AA52" s="92"/>
    </row>
    <row r="53" ht="30.0" customHeight="1">
      <c r="B53" s="92">
        <v>40.0</v>
      </c>
      <c r="C53" s="94" t="s">
        <v>319</v>
      </c>
      <c r="D53" s="94" t="s">
        <v>320</v>
      </c>
      <c r="E53" s="92" t="s">
        <v>132</v>
      </c>
      <c r="F53" s="92" t="s">
        <v>133</v>
      </c>
      <c r="G53" s="106" t="s">
        <v>272</v>
      </c>
      <c r="H53" s="92" t="s">
        <v>180</v>
      </c>
      <c r="I53" s="101" t="s">
        <v>321</v>
      </c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 t="s">
        <v>142</v>
      </c>
      <c r="AA53" s="92" t="s">
        <v>151</v>
      </c>
    </row>
    <row r="54" ht="30.0" customHeight="1">
      <c r="B54" s="92">
        <v>41.0</v>
      </c>
      <c r="C54" s="94" t="s">
        <v>322</v>
      </c>
      <c r="D54" s="94" t="s">
        <v>323</v>
      </c>
      <c r="E54" s="92" t="s">
        <v>132</v>
      </c>
      <c r="F54" s="92" t="s">
        <v>133</v>
      </c>
      <c r="G54" s="106" t="s">
        <v>324</v>
      </c>
      <c r="H54" s="92" t="s">
        <v>180</v>
      </c>
      <c r="I54" s="101" t="s">
        <v>325</v>
      </c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 t="s">
        <v>142</v>
      </c>
      <c r="AA54" s="92" t="s">
        <v>151</v>
      </c>
    </row>
    <row r="55" ht="30.0" customHeight="1">
      <c r="B55" s="92">
        <v>42.0</v>
      </c>
      <c r="C55" s="94" t="s">
        <v>244</v>
      </c>
      <c r="D55" s="94" t="s">
        <v>326</v>
      </c>
      <c r="E55" s="92" t="s">
        <v>132</v>
      </c>
      <c r="F55" s="92" t="s">
        <v>133</v>
      </c>
      <c r="G55" s="106" t="s">
        <v>327</v>
      </c>
      <c r="H55" s="92" t="s">
        <v>216</v>
      </c>
      <c r="I55" s="101" t="s">
        <v>321</v>
      </c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 t="s">
        <v>142</v>
      </c>
      <c r="AA55" s="92" t="s">
        <v>151</v>
      </c>
    </row>
    <row r="56" ht="30.0" customHeight="1">
      <c r="B56" s="92">
        <v>43.0</v>
      </c>
      <c r="C56" s="94" t="s">
        <v>328</v>
      </c>
      <c r="D56" s="94" t="s">
        <v>329</v>
      </c>
      <c r="E56" s="92" t="s">
        <v>138</v>
      </c>
      <c r="F56" s="92" t="s">
        <v>330</v>
      </c>
      <c r="G56" s="106"/>
      <c r="H56" s="92"/>
      <c r="I56" s="101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 t="s">
        <v>171</v>
      </c>
      <c r="AA56" s="92"/>
    </row>
    <row r="57" ht="30.0" customHeight="1">
      <c r="B57" s="92">
        <v>44.0</v>
      </c>
      <c r="C57" s="94" t="s">
        <v>331</v>
      </c>
      <c r="D57" s="94" t="s">
        <v>332</v>
      </c>
      <c r="E57" s="92" t="s">
        <v>132</v>
      </c>
      <c r="F57" s="92"/>
      <c r="G57" s="106"/>
      <c r="H57" s="92"/>
      <c r="I57" s="101" t="s">
        <v>333</v>
      </c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 t="s">
        <v>334</v>
      </c>
      <c r="AA57" s="92" t="s">
        <v>151</v>
      </c>
    </row>
    <row r="58" ht="30.0" customHeight="1">
      <c r="B58" s="92">
        <v>45.0</v>
      </c>
      <c r="C58" s="94" t="s">
        <v>335</v>
      </c>
      <c r="D58" s="94" t="s">
        <v>336</v>
      </c>
      <c r="E58" s="92" t="s">
        <v>132</v>
      </c>
      <c r="F58" s="92" t="s">
        <v>133</v>
      </c>
      <c r="G58" s="106" t="s">
        <v>324</v>
      </c>
      <c r="H58" s="92" t="s">
        <v>180</v>
      </c>
      <c r="I58" s="101" t="s">
        <v>333</v>
      </c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 t="s">
        <v>334</v>
      </c>
      <c r="AA58" s="92" t="s">
        <v>151</v>
      </c>
    </row>
    <row r="59" ht="30.0" customHeight="1">
      <c r="B59" s="92"/>
      <c r="C59" s="158" t="s">
        <v>337</v>
      </c>
      <c r="D59" s="160"/>
      <c r="E59" s="161"/>
      <c r="F59" s="161"/>
      <c r="G59" s="162"/>
      <c r="H59" s="161"/>
      <c r="I59" s="164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  <c r="X59" s="161"/>
      <c r="Y59" s="161"/>
      <c r="Z59" s="161"/>
      <c r="AA59" s="161"/>
    </row>
    <row r="60" ht="30.0" customHeight="1">
      <c r="B60" s="92">
        <v>46.0</v>
      </c>
      <c r="C60" s="94" t="s">
        <v>338</v>
      </c>
      <c r="D60" s="94" t="s">
        <v>339</v>
      </c>
      <c r="E60" s="92" t="s">
        <v>132</v>
      </c>
      <c r="F60" s="92" t="s">
        <v>133</v>
      </c>
      <c r="G60" s="106">
        <v>20366.0</v>
      </c>
      <c r="H60" s="92" t="s">
        <v>237</v>
      </c>
      <c r="I60" s="101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 t="s">
        <v>340</v>
      </c>
      <c r="AA60" s="92"/>
    </row>
    <row r="61" ht="30.0" customHeight="1">
      <c r="B61" s="92">
        <v>47.0</v>
      </c>
      <c r="C61" s="94" t="s">
        <v>341</v>
      </c>
      <c r="D61" s="94" t="s">
        <v>342</v>
      </c>
      <c r="E61" s="92" t="s">
        <v>138</v>
      </c>
      <c r="F61" s="92" t="s">
        <v>174</v>
      </c>
      <c r="G61" s="106"/>
      <c r="H61" s="92" t="s">
        <v>343</v>
      </c>
      <c r="I61" s="101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 t="s">
        <v>171</v>
      </c>
      <c r="AA61" s="92" t="s">
        <v>344</v>
      </c>
    </row>
    <row r="62" ht="30.0" customHeight="1">
      <c r="B62" s="92">
        <v>48.0</v>
      </c>
      <c r="C62" s="94" t="s">
        <v>345</v>
      </c>
      <c r="D62" s="94" t="s">
        <v>346</v>
      </c>
      <c r="E62" s="114" t="s">
        <v>132</v>
      </c>
      <c r="F62" s="92" t="s">
        <v>139</v>
      </c>
      <c r="G62" s="106" t="s">
        <v>347</v>
      </c>
      <c r="H62" s="92" t="s">
        <v>203</v>
      </c>
      <c r="I62" s="101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</row>
    <row r="63" ht="30.0" customHeight="1">
      <c r="B63" s="92"/>
      <c r="C63" s="175" t="s">
        <v>348</v>
      </c>
      <c r="D63" s="177"/>
      <c r="E63" s="179"/>
      <c r="F63" s="179"/>
      <c r="G63" s="181"/>
      <c r="H63" s="179"/>
      <c r="I63" s="183"/>
      <c r="J63" s="179"/>
      <c r="K63" s="179"/>
      <c r="L63" s="179"/>
      <c r="M63" s="179"/>
      <c r="N63" s="179"/>
      <c r="O63" s="179"/>
      <c r="P63" s="179"/>
      <c r="Q63" s="179"/>
      <c r="R63" s="179"/>
      <c r="S63" s="179"/>
      <c r="T63" s="179"/>
      <c r="U63" s="179"/>
      <c r="V63" s="179"/>
      <c r="W63" s="179"/>
      <c r="X63" s="179"/>
      <c r="Y63" s="179"/>
      <c r="Z63" s="179"/>
      <c r="AA63" s="179"/>
    </row>
    <row r="64" ht="30.0" customHeight="1">
      <c r="B64" s="92">
        <v>49.0</v>
      </c>
      <c r="C64" s="94" t="s">
        <v>349</v>
      </c>
      <c r="D64" s="94" t="s">
        <v>350</v>
      </c>
      <c r="E64" s="92" t="s">
        <v>132</v>
      </c>
      <c r="F64" s="92" t="s">
        <v>133</v>
      </c>
      <c r="G64" s="106"/>
      <c r="H64" s="92" t="s">
        <v>351</v>
      </c>
      <c r="I64" s="101" t="s">
        <v>211</v>
      </c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 t="s">
        <v>194</v>
      </c>
      <c r="AA64" s="92"/>
    </row>
    <row r="65" ht="30.0" customHeight="1">
      <c r="B65" s="92">
        <v>50.0</v>
      </c>
      <c r="C65" s="94" t="s">
        <v>352</v>
      </c>
      <c r="D65" s="94" t="s">
        <v>353</v>
      </c>
      <c r="E65" s="92" t="s">
        <v>132</v>
      </c>
      <c r="F65" s="92"/>
      <c r="G65" s="106"/>
      <c r="H65" s="92"/>
      <c r="I65" s="101" t="s">
        <v>286</v>
      </c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 t="s">
        <v>194</v>
      </c>
      <c r="AA65" s="92"/>
    </row>
    <row r="66" ht="30.0" customHeight="1">
      <c r="B66" s="92">
        <v>51.0</v>
      </c>
      <c r="C66" s="94" t="s">
        <v>354</v>
      </c>
      <c r="D66" s="94" t="s">
        <v>355</v>
      </c>
      <c r="E66" s="92" t="s">
        <v>132</v>
      </c>
      <c r="F66" s="92" t="s">
        <v>165</v>
      </c>
      <c r="G66" s="106"/>
      <c r="H66" s="92"/>
      <c r="I66" s="101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 t="s">
        <v>194</v>
      </c>
      <c r="AA66" s="92"/>
    </row>
    <row r="67" ht="30.0" customHeight="1">
      <c r="B67" s="92">
        <v>52.0</v>
      </c>
      <c r="C67" s="94" t="s">
        <v>356</v>
      </c>
      <c r="D67" s="94" t="s">
        <v>178</v>
      </c>
      <c r="E67" s="92" t="s">
        <v>132</v>
      </c>
      <c r="F67" s="92" t="s">
        <v>165</v>
      </c>
      <c r="G67" s="106"/>
      <c r="H67" s="92"/>
      <c r="I67" s="101" t="s">
        <v>319</v>
      </c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 t="s">
        <v>194</v>
      </c>
      <c r="AA67" s="92"/>
    </row>
    <row r="68" ht="42.75" customHeight="1">
      <c r="B68" s="92">
        <v>53.0</v>
      </c>
      <c r="C68" s="190" t="s">
        <v>357</v>
      </c>
      <c r="D68" s="94" t="s">
        <v>358</v>
      </c>
      <c r="E68" s="92" t="s">
        <v>132</v>
      </c>
      <c r="F68" s="92"/>
      <c r="G68" s="106"/>
      <c r="H68" s="92"/>
      <c r="I68" s="101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 t="s">
        <v>194</v>
      </c>
      <c r="AA68" s="92"/>
    </row>
    <row r="69" ht="42.75" customHeight="1">
      <c r="B69" s="92">
        <v>54.0</v>
      </c>
      <c r="C69" s="190" t="s">
        <v>359</v>
      </c>
      <c r="D69" s="94" t="s">
        <v>360</v>
      </c>
      <c r="E69" s="92" t="s">
        <v>132</v>
      </c>
      <c r="F69" s="92" t="s">
        <v>165</v>
      </c>
      <c r="G69" s="106"/>
      <c r="H69" s="92"/>
      <c r="I69" s="101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 t="s">
        <v>194</v>
      </c>
      <c r="AA69" s="92"/>
    </row>
    <row r="70" ht="42.75" customHeight="1">
      <c r="B70" s="92">
        <v>55.0</v>
      </c>
      <c r="C70" s="190" t="s">
        <v>361</v>
      </c>
      <c r="D70" s="94" t="s">
        <v>362</v>
      </c>
      <c r="E70" s="92" t="s">
        <v>132</v>
      </c>
      <c r="F70" s="92" t="s">
        <v>165</v>
      </c>
      <c r="G70" s="106"/>
      <c r="H70" s="92"/>
      <c r="I70" s="101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 t="s">
        <v>363</v>
      </c>
      <c r="AA70" s="92"/>
    </row>
    <row r="71" ht="42.75" customHeight="1">
      <c r="B71" s="92">
        <v>56.0</v>
      </c>
      <c r="C71" s="190" t="s">
        <v>364</v>
      </c>
      <c r="D71" s="94" t="s">
        <v>365</v>
      </c>
      <c r="E71" s="92" t="s">
        <v>132</v>
      </c>
      <c r="F71" s="92" t="s">
        <v>366</v>
      </c>
      <c r="G71" s="106"/>
      <c r="H71" s="92"/>
      <c r="I71" s="136" t="s">
        <v>367</v>
      </c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 t="s">
        <v>187</v>
      </c>
      <c r="AA71" s="92"/>
    </row>
    <row r="72" ht="30.0" customHeight="1">
      <c r="B72" s="92"/>
      <c r="C72" s="192" t="s">
        <v>368</v>
      </c>
      <c r="D72" s="193"/>
      <c r="E72" s="194"/>
      <c r="F72" s="194"/>
      <c r="G72" s="195"/>
      <c r="H72" s="194"/>
      <c r="I72" s="196"/>
      <c r="J72" s="194"/>
      <c r="K72" s="194"/>
      <c r="L72" s="194"/>
      <c r="M72" s="194"/>
      <c r="N72" s="194"/>
      <c r="O72" s="194"/>
      <c r="P72" s="194"/>
      <c r="Q72" s="194"/>
      <c r="R72" s="194"/>
      <c r="S72" s="194"/>
      <c r="T72" s="194"/>
      <c r="U72" s="194"/>
      <c r="V72" s="194"/>
      <c r="W72" s="194"/>
      <c r="X72" s="194"/>
      <c r="Y72" s="194"/>
      <c r="Z72" s="194"/>
      <c r="AA72" s="194"/>
    </row>
    <row r="73" ht="30.0" customHeight="1">
      <c r="B73" s="92">
        <v>57.0</v>
      </c>
      <c r="C73" s="94" t="s">
        <v>199</v>
      </c>
      <c r="D73" s="94" t="s">
        <v>370</v>
      </c>
      <c r="E73" s="92" t="s">
        <v>368</v>
      </c>
      <c r="F73" s="92" t="s">
        <v>371</v>
      </c>
      <c r="G73" s="106" t="s">
        <v>372</v>
      </c>
      <c r="H73" s="92" t="s">
        <v>373</v>
      </c>
      <c r="I73" s="101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</row>
    <row r="74" ht="30.0" customHeight="1">
      <c r="B74" s="92">
        <v>58.0</v>
      </c>
      <c r="C74" s="94" t="s">
        <v>374</v>
      </c>
      <c r="D74" s="94" t="s">
        <v>375</v>
      </c>
      <c r="E74" s="92" t="s">
        <v>368</v>
      </c>
      <c r="F74" s="92" t="s">
        <v>371</v>
      </c>
      <c r="G74" s="106" t="s">
        <v>376</v>
      </c>
      <c r="H74" s="92" t="s">
        <v>377</v>
      </c>
      <c r="I74" s="101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</row>
    <row r="75" ht="30.0" customHeight="1">
      <c r="B75" s="92">
        <v>59.0</v>
      </c>
      <c r="C75" s="94" t="s">
        <v>378</v>
      </c>
      <c r="D75" s="94" t="s">
        <v>379</v>
      </c>
      <c r="E75" s="92" t="s">
        <v>368</v>
      </c>
      <c r="F75" s="92" t="s">
        <v>371</v>
      </c>
      <c r="G75" s="106"/>
      <c r="H75" s="92"/>
      <c r="I75" s="101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</row>
    <row r="76" ht="30.0" customHeight="1">
      <c r="B76" s="92">
        <v>60.0</v>
      </c>
      <c r="C76" s="94" t="s">
        <v>149</v>
      </c>
      <c r="D76" s="94" t="s">
        <v>380</v>
      </c>
      <c r="E76" s="92" t="s">
        <v>368</v>
      </c>
      <c r="F76" s="92" t="s">
        <v>371</v>
      </c>
      <c r="G76" s="106" t="s">
        <v>372</v>
      </c>
      <c r="H76" s="92" t="s">
        <v>381</v>
      </c>
      <c r="I76" s="101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</row>
    <row r="77" ht="30.0" customHeight="1">
      <c r="B77" s="92">
        <v>61.0</v>
      </c>
      <c r="C77" s="94" t="s">
        <v>190</v>
      </c>
      <c r="D77" s="94" t="s">
        <v>382</v>
      </c>
      <c r="E77" s="92" t="s">
        <v>368</v>
      </c>
      <c r="F77" s="92" t="s">
        <v>371</v>
      </c>
      <c r="G77" s="106" t="s">
        <v>383</v>
      </c>
      <c r="H77" s="92" t="s">
        <v>384</v>
      </c>
      <c r="I77" s="101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</row>
    <row r="78" ht="30.0" customHeight="1">
      <c r="B78" s="92">
        <v>62.0</v>
      </c>
      <c r="C78" s="94" t="s">
        <v>234</v>
      </c>
      <c r="D78" s="94" t="s">
        <v>380</v>
      </c>
      <c r="E78" s="92" t="s">
        <v>368</v>
      </c>
      <c r="F78" s="92" t="s">
        <v>371</v>
      </c>
      <c r="G78" s="106" t="s">
        <v>385</v>
      </c>
      <c r="H78" s="92" t="s">
        <v>386</v>
      </c>
      <c r="I78" s="101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</row>
    <row r="79" ht="30.0" customHeight="1">
      <c r="B79" s="92">
        <v>63.0</v>
      </c>
      <c r="C79" s="94" t="s">
        <v>256</v>
      </c>
      <c r="D79" s="94" t="s">
        <v>387</v>
      </c>
      <c r="E79" s="92" t="s">
        <v>368</v>
      </c>
      <c r="F79" s="92" t="s">
        <v>371</v>
      </c>
      <c r="G79" s="106" t="s">
        <v>388</v>
      </c>
      <c r="H79" s="92" t="s">
        <v>389</v>
      </c>
      <c r="I79" s="101"/>
      <c r="J79" s="92"/>
      <c r="K79" s="92"/>
      <c r="L79" s="92"/>
      <c r="M79" s="92"/>
      <c r="N79" s="92"/>
      <c r="O79" s="92"/>
      <c r="P79" s="92"/>
      <c r="Q79" s="116"/>
      <c r="R79" s="116"/>
      <c r="S79" s="116"/>
      <c r="T79" s="92"/>
      <c r="U79" s="92"/>
      <c r="V79" s="92"/>
      <c r="W79" s="92"/>
      <c r="X79" s="92"/>
      <c r="Y79" s="92"/>
      <c r="Z79" s="92"/>
      <c r="AA79" s="92"/>
    </row>
    <row r="80" ht="30.0" customHeight="1">
      <c r="B80" s="92">
        <v>64.0</v>
      </c>
      <c r="C80" s="94" t="s">
        <v>391</v>
      </c>
      <c r="D80" s="94" t="s">
        <v>387</v>
      </c>
      <c r="E80" s="92" t="s">
        <v>368</v>
      </c>
      <c r="F80" s="92" t="s">
        <v>371</v>
      </c>
      <c r="G80" s="106" t="s">
        <v>392</v>
      </c>
      <c r="H80" s="92" t="s">
        <v>393</v>
      </c>
      <c r="I80" s="101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</row>
    <row r="81" ht="30.0" customHeight="1">
      <c r="B81" s="92">
        <v>65.0</v>
      </c>
      <c r="C81" s="94" t="s">
        <v>230</v>
      </c>
      <c r="D81" s="94" t="s">
        <v>387</v>
      </c>
      <c r="E81" s="92" t="s">
        <v>368</v>
      </c>
      <c r="F81" s="92" t="s">
        <v>371</v>
      </c>
      <c r="G81" s="106" t="s">
        <v>372</v>
      </c>
      <c r="H81" s="92" t="s">
        <v>394</v>
      </c>
      <c r="I81" s="101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</row>
    <row r="82" ht="30.0" customHeight="1">
      <c r="B82" s="92">
        <v>66.0</v>
      </c>
      <c r="C82" s="94" t="s">
        <v>396</v>
      </c>
      <c r="D82" s="94" t="s">
        <v>397</v>
      </c>
      <c r="E82" s="92" t="s">
        <v>368</v>
      </c>
      <c r="F82" s="92" t="s">
        <v>371</v>
      </c>
      <c r="G82" s="213" t="s">
        <v>398</v>
      </c>
      <c r="H82" s="92" t="s">
        <v>399</v>
      </c>
      <c r="I82" s="101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</row>
    <row r="83" ht="30.0" customHeight="1">
      <c r="B83" s="92">
        <v>67.0</v>
      </c>
      <c r="C83" s="94" t="s">
        <v>254</v>
      </c>
      <c r="D83" s="94" t="s">
        <v>379</v>
      </c>
      <c r="E83" s="92" t="s">
        <v>368</v>
      </c>
      <c r="F83" s="92" t="s">
        <v>371</v>
      </c>
      <c r="G83" s="106" t="s">
        <v>401</v>
      </c>
      <c r="H83" s="92" t="s">
        <v>402</v>
      </c>
      <c r="I83" s="101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</row>
    <row r="84" ht="24.75" customHeight="1">
      <c r="B84" s="92">
        <v>68.0</v>
      </c>
      <c r="C84" s="115" t="s">
        <v>166</v>
      </c>
      <c r="D84" s="94" t="s">
        <v>403</v>
      </c>
      <c r="E84" s="92" t="s">
        <v>404</v>
      </c>
      <c r="F84" s="92" t="s">
        <v>405</v>
      </c>
      <c r="G84" s="106" t="s">
        <v>406</v>
      </c>
      <c r="H84" s="92"/>
      <c r="I84" s="101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</row>
    <row r="85" ht="42.75" customHeight="1">
      <c r="B85" s="92">
        <v>69.0</v>
      </c>
      <c r="C85" s="190" t="s">
        <v>357</v>
      </c>
      <c r="D85" s="94" t="s">
        <v>375</v>
      </c>
      <c r="E85" s="92" t="s">
        <v>368</v>
      </c>
      <c r="F85" s="92" t="s">
        <v>371</v>
      </c>
      <c r="G85" s="106" t="s">
        <v>372</v>
      </c>
      <c r="H85" s="92" t="s">
        <v>409</v>
      </c>
      <c r="I85" s="101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</row>
    <row r="86" ht="42.75" customHeight="1">
      <c r="B86" s="92">
        <v>70.0</v>
      </c>
      <c r="C86" s="190" t="s">
        <v>411</v>
      </c>
      <c r="D86" s="94" t="s">
        <v>380</v>
      </c>
      <c r="E86" s="92" t="s">
        <v>368</v>
      </c>
      <c r="F86" s="92" t="s">
        <v>371</v>
      </c>
      <c r="G86" s="106"/>
      <c r="H86" s="92"/>
      <c r="I86" s="101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</row>
    <row r="87" ht="24.75" customHeight="1">
      <c r="B87" s="92"/>
      <c r="C87" s="216" t="s">
        <v>413</v>
      </c>
      <c r="D87" s="217"/>
      <c r="E87" s="219"/>
      <c r="F87" s="219"/>
      <c r="G87" s="221"/>
      <c r="H87" s="219"/>
      <c r="I87" s="223"/>
      <c r="J87" s="225"/>
      <c r="K87" s="225"/>
      <c r="L87" s="225"/>
      <c r="M87" s="225"/>
      <c r="N87" s="225"/>
      <c r="O87" s="225"/>
      <c r="P87" s="225"/>
      <c r="Q87" s="225"/>
      <c r="R87" s="225"/>
      <c r="S87" s="225"/>
      <c r="T87" s="225"/>
      <c r="U87" s="225"/>
      <c r="V87" s="225"/>
      <c r="W87" s="225"/>
      <c r="X87" s="225"/>
      <c r="Y87" s="225"/>
      <c r="Z87" s="225"/>
      <c r="AA87" s="225"/>
    </row>
    <row r="88" ht="24.75" customHeight="1">
      <c r="B88" s="92">
        <v>71.0</v>
      </c>
      <c r="C88" s="227" t="s">
        <v>416</v>
      </c>
      <c r="D88" s="94" t="s">
        <v>417</v>
      </c>
      <c r="E88" s="92" t="s">
        <v>413</v>
      </c>
      <c r="F88" s="92" t="s">
        <v>418</v>
      </c>
      <c r="G88" s="106" t="s">
        <v>419</v>
      </c>
      <c r="H88" s="92"/>
      <c r="I88" s="101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</row>
    <row r="89" ht="24.75" customHeight="1">
      <c r="B89" s="92">
        <v>72.0</v>
      </c>
      <c r="C89" s="227" t="s">
        <v>420</v>
      </c>
      <c r="D89" s="94" t="s">
        <v>421</v>
      </c>
      <c r="E89" s="92" t="s">
        <v>413</v>
      </c>
      <c r="F89" s="92" t="s">
        <v>418</v>
      </c>
      <c r="G89" s="106" t="s">
        <v>422</v>
      </c>
      <c r="H89" s="92"/>
      <c r="I89" s="101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</row>
    <row r="90" ht="24.75" customHeight="1">
      <c r="B90" s="92"/>
      <c r="C90" s="228" t="s">
        <v>423</v>
      </c>
      <c r="D90" s="229"/>
      <c r="E90" s="231"/>
      <c r="F90" s="231"/>
      <c r="G90" s="232"/>
      <c r="H90" s="233"/>
      <c r="I90" s="235"/>
      <c r="J90" s="231"/>
      <c r="K90" s="231"/>
      <c r="L90" s="231"/>
      <c r="M90" s="231"/>
      <c r="N90" s="231"/>
      <c r="O90" s="231"/>
      <c r="P90" s="231"/>
      <c r="Q90" s="231"/>
      <c r="R90" s="231"/>
      <c r="S90" s="231"/>
      <c r="T90" s="231"/>
      <c r="U90" s="231"/>
      <c r="V90" s="231"/>
      <c r="W90" s="231"/>
      <c r="X90" s="231"/>
      <c r="Y90" s="231"/>
      <c r="Z90" s="231"/>
      <c r="AA90" s="231"/>
    </row>
    <row r="91" ht="40.5" customHeight="1">
      <c r="B91" s="92">
        <v>73.0</v>
      </c>
      <c r="C91" s="94"/>
      <c r="D91" s="238"/>
      <c r="E91" s="92"/>
      <c r="F91" s="92"/>
      <c r="G91" s="106"/>
      <c r="H91" s="92"/>
      <c r="I91" s="101"/>
      <c r="J91" s="239"/>
      <c r="K91" s="239"/>
      <c r="L91" s="239"/>
      <c r="M91" s="239"/>
      <c r="N91" s="239"/>
      <c r="O91" s="239"/>
      <c r="P91" s="239"/>
      <c r="Q91" s="239"/>
      <c r="R91" s="239"/>
      <c r="S91" s="239"/>
      <c r="T91" s="239"/>
      <c r="U91" s="239"/>
      <c r="V91" s="239"/>
      <c r="W91" s="239"/>
      <c r="X91" s="239"/>
      <c r="Y91" s="239"/>
      <c r="Z91" s="239"/>
      <c r="AA91" s="240" t="s">
        <v>429</v>
      </c>
    </row>
    <row r="92" ht="24.75" customHeight="1">
      <c r="B92" s="92">
        <v>74.0</v>
      </c>
      <c r="C92" s="241" t="s">
        <v>432</v>
      </c>
      <c r="D92" s="242"/>
      <c r="E92" s="154"/>
      <c r="F92" s="154"/>
      <c r="G92" s="241"/>
      <c r="H92" s="154"/>
      <c r="I92" s="243"/>
      <c r="J92" s="154"/>
      <c r="K92" s="154"/>
      <c r="L92" s="154"/>
      <c r="M92" s="154"/>
      <c r="N92" s="154"/>
      <c r="O92" s="154"/>
      <c r="P92" s="154"/>
      <c r="Q92" s="154"/>
      <c r="R92" s="154"/>
      <c r="S92" s="154"/>
      <c r="T92" s="154"/>
      <c r="U92" s="154"/>
      <c r="V92" s="154"/>
      <c r="W92" s="154"/>
      <c r="X92" s="154"/>
      <c r="Y92" s="154"/>
      <c r="Z92" s="154" t="s">
        <v>434</v>
      </c>
      <c r="AA92" s="154"/>
    </row>
    <row r="93" ht="24.75" customHeight="1">
      <c r="B93" s="92"/>
      <c r="C93" s="94"/>
      <c r="D93" s="244"/>
      <c r="E93" s="92"/>
      <c r="F93" s="92"/>
      <c r="G93" s="106"/>
      <c r="H93" s="92"/>
      <c r="I93" s="101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</row>
    <row r="94" ht="24.75" customHeight="1">
      <c r="B94" s="92"/>
      <c r="C94" s="94"/>
      <c r="D94" s="244"/>
      <c r="E94" s="92"/>
      <c r="F94" s="92"/>
      <c r="G94" s="106"/>
      <c r="H94" s="92"/>
      <c r="I94" s="101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</row>
    <row r="95" ht="24.75" customHeight="1">
      <c r="C95" s="245" t="s">
        <v>435</v>
      </c>
      <c r="D95" s="73" t="s">
        <v>436</v>
      </c>
      <c r="G95" s="4"/>
      <c r="I95" s="6"/>
    </row>
    <row r="96" ht="24.75" customHeight="1">
      <c r="C96" s="245" t="s">
        <v>437</v>
      </c>
      <c r="D96" s="73" t="s">
        <v>438</v>
      </c>
      <c r="G96" s="4"/>
      <c r="I96" s="6"/>
    </row>
    <row r="97" ht="24.75" customHeight="1">
      <c r="C97" s="245" t="s">
        <v>439</v>
      </c>
      <c r="D97" s="73"/>
      <c r="G97" s="4"/>
      <c r="I97" s="6"/>
    </row>
    <row r="98" ht="24.75" customHeight="1">
      <c r="C98" s="245" t="s">
        <v>440</v>
      </c>
      <c r="D98" s="73">
        <v>9.0</v>
      </c>
      <c r="G98" s="4"/>
      <c r="I98" s="6"/>
    </row>
    <row r="99" ht="24.75" customHeight="1">
      <c r="C99" s="1"/>
      <c r="D99" s="1"/>
      <c r="G99" s="4"/>
      <c r="I99" s="6"/>
    </row>
    <row r="100" ht="24.75" customHeight="1">
      <c r="C100" s="1"/>
      <c r="D100" s="1"/>
      <c r="G100" s="4"/>
      <c r="I100" s="6"/>
    </row>
    <row r="101" ht="24.75" customHeight="1">
      <c r="C101" s="1"/>
      <c r="D101" s="1"/>
      <c r="G101" s="4"/>
      <c r="I101" s="6"/>
    </row>
    <row r="102" ht="24.75" customHeight="1">
      <c r="C102" s="1"/>
      <c r="D102" s="1"/>
      <c r="G102" s="4"/>
      <c r="I102" s="6"/>
    </row>
    <row r="103" ht="24.75" customHeight="1">
      <c r="C103" s="1"/>
      <c r="D103" s="1"/>
      <c r="G103" s="4"/>
      <c r="I103" s="6"/>
    </row>
    <row r="104" ht="12.75" customHeight="1">
      <c r="C104" s="1"/>
      <c r="D104" s="1"/>
      <c r="G104" s="4"/>
      <c r="I104" s="6"/>
    </row>
    <row r="105" ht="12.75" customHeight="1">
      <c r="C105" s="1"/>
      <c r="D105" s="1"/>
      <c r="G105" s="4"/>
      <c r="I105" s="6"/>
    </row>
    <row r="106" ht="12.75" customHeight="1">
      <c r="C106" s="1"/>
      <c r="D106" s="1"/>
      <c r="G106" s="4"/>
      <c r="I106" s="6"/>
    </row>
    <row r="107" ht="12.75" customHeight="1">
      <c r="C107" s="1"/>
      <c r="D107" s="1"/>
      <c r="G107" s="4"/>
      <c r="I107" s="6"/>
    </row>
    <row r="108" ht="12.75" customHeight="1">
      <c r="C108" s="1"/>
      <c r="D108" s="1"/>
      <c r="G108" s="4"/>
      <c r="I108" s="6"/>
    </row>
    <row r="109" ht="12.75" customHeight="1">
      <c r="C109" s="1"/>
      <c r="D109" s="1"/>
      <c r="G109" s="4"/>
      <c r="I109" s="6"/>
    </row>
    <row r="110" ht="12.75" customHeight="1">
      <c r="C110" s="1"/>
      <c r="D110" s="1"/>
      <c r="G110" s="4"/>
      <c r="I110" s="6"/>
    </row>
    <row r="111" ht="12.75" customHeight="1">
      <c r="C111" s="1"/>
      <c r="D111" s="1"/>
      <c r="G111" s="4"/>
      <c r="I111" s="6"/>
    </row>
    <row r="112" ht="12.75" customHeight="1">
      <c r="C112" s="1"/>
      <c r="D112" s="1"/>
      <c r="G112" s="4"/>
      <c r="I112" s="6"/>
    </row>
    <row r="113" ht="12.75" customHeight="1">
      <c r="C113" s="1"/>
      <c r="D113" s="1"/>
      <c r="G113" s="4"/>
      <c r="I113" s="6"/>
    </row>
    <row r="114" ht="12.75" customHeight="1">
      <c r="C114" s="1"/>
      <c r="D114" s="1"/>
      <c r="G114" s="4"/>
      <c r="I114" s="6"/>
    </row>
    <row r="115" ht="12.75" customHeight="1">
      <c r="C115" s="1"/>
      <c r="D115" s="1"/>
      <c r="G115" s="4"/>
      <c r="I115" s="6"/>
    </row>
    <row r="116" ht="12.75" customHeight="1">
      <c r="C116" s="1"/>
      <c r="D116" s="1"/>
      <c r="G116" s="4"/>
      <c r="I116" s="6"/>
    </row>
    <row r="117" ht="12.75" customHeight="1">
      <c r="C117" s="1"/>
      <c r="D117" s="1"/>
      <c r="G117" s="4"/>
      <c r="I117" s="6"/>
    </row>
    <row r="118" ht="12.75" customHeight="1">
      <c r="C118" s="1"/>
      <c r="D118" s="1"/>
      <c r="G118" s="4"/>
      <c r="I118" s="6"/>
    </row>
    <row r="119" ht="12.75" customHeight="1">
      <c r="C119" s="1"/>
      <c r="D119" s="1"/>
      <c r="G119" s="4"/>
      <c r="I119" s="6"/>
    </row>
    <row r="120" ht="12.75" customHeight="1">
      <c r="C120" s="1"/>
      <c r="D120" s="1"/>
      <c r="G120" s="4"/>
      <c r="I120" s="6"/>
    </row>
    <row r="121" ht="12.75" customHeight="1">
      <c r="C121" s="1"/>
      <c r="D121" s="1"/>
      <c r="G121" s="4"/>
      <c r="I121" s="6"/>
    </row>
    <row r="122" ht="12.75" customHeight="1">
      <c r="C122" s="1"/>
      <c r="D122" s="1"/>
      <c r="G122" s="4"/>
      <c r="I122" s="6"/>
    </row>
    <row r="123" ht="12.75" customHeight="1">
      <c r="C123" s="1"/>
      <c r="D123" s="1"/>
      <c r="G123" s="4"/>
      <c r="I123" s="6"/>
    </row>
    <row r="124" ht="12.75" customHeight="1">
      <c r="C124" s="1"/>
      <c r="D124" s="1"/>
      <c r="G124" s="4"/>
      <c r="I124" s="6"/>
    </row>
    <row r="125" ht="12.75" customHeight="1">
      <c r="C125" s="1"/>
      <c r="D125" s="1"/>
      <c r="G125" s="4"/>
      <c r="I125" s="6"/>
    </row>
    <row r="126" ht="12.75" customHeight="1">
      <c r="C126" s="1"/>
      <c r="D126" s="1"/>
      <c r="G126" s="4"/>
      <c r="I126" s="6"/>
    </row>
    <row r="127" ht="12.75" customHeight="1">
      <c r="C127" s="1"/>
      <c r="D127" s="1"/>
      <c r="G127" s="4"/>
      <c r="I127" s="6"/>
    </row>
    <row r="128" ht="12.75" customHeight="1">
      <c r="C128" s="1"/>
      <c r="D128" s="1"/>
      <c r="G128" s="4"/>
      <c r="I128" s="6"/>
    </row>
    <row r="129" ht="12.75" customHeight="1">
      <c r="C129" s="1"/>
      <c r="D129" s="1"/>
      <c r="G129" s="4"/>
      <c r="I129" s="6"/>
    </row>
    <row r="130" ht="12.75" customHeight="1">
      <c r="C130" s="1"/>
      <c r="D130" s="1"/>
      <c r="G130" s="4"/>
      <c r="I130" s="6"/>
    </row>
    <row r="131" ht="12.75" customHeight="1">
      <c r="C131" s="1"/>
      <c r="D131" s="1"/>
      <c r="G131" s="4"/>
      <c r="I131" s="6"/>
    </row>
    <row r="132" ht="12.75" customHeight="1">
      <c r="C132" s="1"/>
      <c r="D132" s="1"/>
      <c r="G132" s="4"/>
      <c r="I132" s="6"/>
    </row>
    <row r="133" ht="12.75" customHeight="1">
      <c r="C133" s="1"/>
      <c r="D133" s="1"/>
      <c r="G133" s="4"/>
      <c r="I133" s="6"/>
    </row>
    <row r="134" ht="12.75" customHeight="1">
      <c r="C134" s="1"/>
      <c r="D134" s="1"/>
      <c r="G134" s="4"/>
      <c r="I134" s="6"/>
    </row>
    <row r="135" ht="12.75" customHeight="1">
      <c r="C135" s="1"/>
      <c r="D135" s="1"/>
      <c r="G135" s="4"/>
      <c r="I135" s="6"/>
    </row>
    <row r="136" ht="12.75" customHeight="1">
      <c r="C136" s="1"/>
      <c r="D136" s="1"/>
      <c r="G136" s="4"/>
      <c r="I136" s="6"/>
    </row>
    <row r="137" ht="12.75" customHeight="1">
      <c r="C137" s="1"/>
      <c r="D137" s="1"/>
      <c r="G137" s="4"/>
      <c r="I137" s="6"/>
    </row>
    <row r="138" ht="12.75" customHeight="1">
      <c r="C138" s="1"/>
      <c r="D138" s="1"/>
      <c r="G138" s="4"/>
      <c r="I138" s="6"/>
    </row>
    <row r="139" ht="12.75" customHeight="1">
      <c r="C139" s="1"/>
      <c r="D139" s="1"/>
      <c r="G139" s="4"/>
      <c r="I139" s="6"/>
    </row>
    <row r="140" ht="12.75" customHeight="1">
      <c r="C140" s="1"/>
      <c r="D140" s="1"/>
      <c r="G140" s="4"/>
      <c r="I140" s="6"/>
    </row>
    <row r="141" ht="12.75" customHeight="1">
      <c r="C141" s="1"/>
      <c r="D141" s="1"/>
      <c r="G141" s="4"/>
      <c r="I141" s="6"/>
    </row>
    <row r="142" ht="12.75" customHeight="1">
      <c r="C142" s="1"/>
      <c r="D142" s="1"/>
      <c r="G142" s="4"/>
      <c r="I142" s="6"/>
    </row>
    <row r="143" ht="12.75" customHeight="1">
      <c r="C143" s="1"/>
      <c r="D143" s="1"/>
      <c r="G143" s="4"/>
      <c r="I143" s="6"/>
    </row>
    <row r="144" ht="12.75" customHeight="1">
      <c r="C144" s="1"/>
      <c r="D144" s="1"/>
      <c r="G144" s="4"/>
      <c r="I144" s="6"/>
    </row>
    <row r="145" ht="12.75" customHeight="1">
      <c r="C145" s="1"/>
      <c r="D145" s="1"/>
      <c r="G145" s="4"/>
      <c r="I145" s="6"/>
    </row>
    <row r="146" ht="12.75" customHeight="1">
      <c r="C146" s="1"/>
      <c r="D146" s="1"/>
      <c r="G146" s="4"/>
      <c r="I146" s="6"/>
    </row>
    <row r="147" ht="12.75" customHeight="1">
      <c r="C147" s="1"/>
      <c r="D147" s="1"/>
      <c r="G147" s="4"/>
      <c r="I147" s="6"/>
    </row>
    <row r="148" ht="12.75" customHeight="1">
      <c r="C148" s="1"/>
      <c r="D148" s="1"/>
      <c r="G148" s="4"/>
      <c r="I148" s="6"/>
    </row>
    <row r="149" ht="12.75" customHeight="1">
      <c r="C149" s="1"/>
      <c r="D149" s="1"/>
      <c r="G149" s="4"/>
      <c r="I149" s="6"/>
    </row>
    <row r="150" ht="12.75" customHeight="1">
      <c r="C150" s="1"/>
      <c r="D150" s="1"/>
      <c r="G150" s="4"/>
      <c r="I150" s="6"/>
    </row>
    <row r="151" ht="12.75" customHeight="1">
      <c r="C151" s="1"/>
      <c r="D151" s="1"/>
      <c r="G151" s="4"/>
      <c r="I151" s="6"/>
    </row>
    <row r="152" ht="12.75" customHeight="1">
      <c r="C152" s="1"/>
      <c r="D152" s="1"/>
      <c r="G152" s="4"/>
      <c r="I152" s="6"/>
    </row>
    <row r="153" ht="12.75" customHeight="1">
      <c r="C153" s="1"/>
      <c r="D153" s="1"/>
      <c r="G153" s="4"/>
      <c r="I153" s="6"/>
    </row>
    <row r="154" ht="12.75" customHeight="1">
      <c r="C154" s="1"/>
      <c r="D154" s="1"/>
      <c r="G154" s="4"/>
      <c r="I154" s="6"/>
    </row>
    <row r="155" ht="12.75" customHeight="1">
      <c r="C155" s="1"/>
      <c r="D155" s="1"/>
      <c r="G155" s="4"/>
      <c r="I155" s="6"/>
    </row>
    <row r="156" ht="12.75" customHeight="1">
      <c r="C156" s="1"/>
      <c r="D156" s="1"/>
      <c r="G156" s="4"/>
      <c r="I156" s="6"/>
    </row>
    <row r="157" ht="12.75" customHeight="1">
      <c r="C157" s="1"/>
      <c r="D157" s="1"/>
      <c r="G157" s="4"/>
      <c r="I157" s="6"/>
    </row>
    <row r="158" ht="12.75" customHeight="1">
      <c r="C158" s="1"/>
      <c r="D158" s="1"/>
      <c r="G158" s="4"/>
      <c r="I158" s="6"/>
    </row>
    <row r="159" ht="12.75" customHeight="1">
      <c r="C159" s="1"/>
      <c r="D159" s="1"/>
      <c r="G159" s="4"/>
      <c r="I159" s="6"/>
    </row>
    <row r="160" ht="12.75" customHeight="1">
      <c r="C160" s="1"/>
      <c r="D160" s="1"/>
      <c r="G160" s="4"/>
      <c r="I160" s="6"/>
    </row>
    <row r="161" ht="12.75" customHeight="1">
      <c r="C161" s="1"/>
      <c r="D161" s="1"/>
      <c r="G161" s="4"/>
      <c r="I161" s="6"/>
    </row>
    <row r="162" ht="12.75" customHeight="1">
      <c r="C162" s="1"/>
      <c r="D162" s="1"/>
      <c r="G162" s="4"/>
      <c r="I162" s="6"/>
    </row>
    <row r="163" ht="12.75" customHeight="1">
      <c r="C163" s="1"/>
      <c r="D163" s="1"/>
      <c r="G163" s="4"/>
      <c r="I163" s="6"/>
    </row>
    <row r="164" ht="12.75" customHeight="1">
      <c r="C164" s="1"/>
      <c r="D164" s="1"/>
      <c r="G164" s="4"/>
      <c r="I164" s="6"/>
    </row>
    <row r="165" ht="12.75" customHeight="1">
      <c r="C165" s="1"/>
      <c r="D165" s="1"/>
      <c r="G165" s="4"/>
      <c r="I165" s="6"/>
    </row>
    <row r="166" ht="12.75" customHeight="1">
      <c r="C166" s="1"/>
      <c r="D166" s="1"/>
      <c r="G166" s="4"/>
      <c r="I166" s="6"/>
    </row>
    <row r="167" ht="12.75" customHeight="1">
      <c r="C167" s="1"/>
      <c r="D167" s="1"/>
      <c r="G167" s="4"/>
      <c r="I167" s="6"/>
    </row>
    <row r="168" ht="12.75" customHeight="1">
      <c r="C168" s="1"/>
      <c r="D168" s="1"/>
      <c r="G168" s="4"/>
      <c r="I168" s="6"/>
    </row>
    <row r="169" ht="12.75" customHeight="1">
      <c r="C169" s="1"/>
      <c r="D169" s="1"/>
      <c r="G169" s="4"/>
      <c r="I169" s="6"/>
    </row>
    <row r="170" ht="12.75" customHeight="1">
      <c r="C170" s="1"/>
      <c r="D170" s="1"/>
      <c r="G170" s="4"/>
      <c r="I170" s="6"/>
    </row>
    <row r="171" ht="12.75" customHeight="1">
      <c r="C171" s="1"/>
      <c r="D171" s="1"/>
      <c r="G171" s="4"/>
      <c r="I171" s="6"/>
    </row>
    <row r="172" ht="12.75" customHeight="1">
      <c r="C172" s="1"/>
      <c r="D172" s="1"/>
      <c r="G172" s="4"/>
      <c r="I172" s="6"/>
    </row>
    <row r="173" ht="12.75" customHeight="1">
      <c r="C173" s="1"/>
      <c r="D173" s="1"/>
      <c r="G173" s="4"/>
      <c r="I173" s="6"/>
    </row>
    <row r="174" ht="12.75" customHeight="1">
      <c r="C174" s="1"/>
      <c r="D174" s="1"/>
      <c r="G174" s="4"/>
      <c r="I174" s="6"/>
    </row>
    <row r="175" ht="12.75" customHeight="1">
      <c r="C175" s="1"/>
      <c r="D175" s="1"/>
      <c r="G175" s="4"/>
      <c r="I175" s="6"/>
    </row>
    <row r="176" ht="12.75" customHeight="1">
      <c r="C176" s="1"/>
      <c r="D176" s="1"/>
      <c r="G176" s="4"/>
      <c r="I176" s="6"/>
    </row>
    <row r="177" ht="12.75" customHeight="1">
      <c r="C177" s="1"/>
      <c r="D177" s="1"/>
      <c r="G177" s="4"/>
      <c r="I177" s="6"/>
    </row>
    <row r="178" ht="12.75" customHeight="1">
      <c r="C178" s="1"/>
      <c r="D178" s="1"/>
      <c r="G178" s="4"/>
      <c r="I178" s="6"/>
    </row>
    <row r="179" ht="12.75" customHeight="1">
      <c r="C179" s="1"/>
      <c r="D179" s="1"/>
      <c r="G179" s="4"/>
      <c r="I179" s="6"/>
    </row>
    <row r="180" ht="12.75" customHeight="1">
      <c r="C180" s="1"/>
      <c r="D180" s="1"/>
      <c r="G180" s="4"/>
      <c r="I180" s="6"/>
    </row>
    <row r="181" ht="12.75" customHeight="1">
      <c r="C181" s="1"/>
      <c r="D181" s="1"/>
      <c r="G181" s="4"/>
      <c r="I181" s="6"/>
    </row>
    <row r="182" ht="12.75" customHeight="1">
      <c r="C182" s="1"/>
      <c r="D182" s="1"/>
      <c r="G182" s="4"/>
      <c r="I182" s="6"/>
    </row>
    <row r="183" ht="12.75" customHeight="1">
      <c r="C183" s="1"/>
      <c r="D183" s="1"/>
      <c r="G183" s="4"/>
      <c r="I183" s="6"/>
    </row>
    <row r="184" ht="12.75" customHeight="1">
      <c r="C184" s="1"/>
      <c r="D184" s="1"/>
      <c r="G184" s="4"/>
      <c r="I184" s="6"/>
    </row>
    <row r="185" ht="12.75" customHeight="1">
      <c r="C185" s="1"/>
      <c r="D185" s="1"/>
      <c r="G185" s="4"/>
      <c r="I185" s="6"/>
    </row>
    <row r="186" ht="12.75" customHeight="1">
      <c r="C186" s="1"/>
      <c r="D186" s="1"/>
      <c r="G186" s="4"/>
      <c r="I186" s="6"/>
    </row>
    <row r="187" ht="12.75" customHeight="1">
      <c r="C187" s="1"/>
      <c r="D187" s="1"/>
      <c r="G187" s="4"/>
      <c r="I187" s="6"/>
    </row>
    <row r="188" ht="12.75" customHeight="1">
      <c r="C188" s="1"/>
      <c r="D188" s="1"/>
      <c r="G188" s="4"/>
      <c r="I188" s="6"/>
    </row>
    <row r="189" ht="12.75" customHeight="1">
      <c r="C189" s="1"/>
      <c r="D189" s="1"/>
      <c r="G189" s="4"/>
      <c r="I189" s="6"/>
    </row>
    <row r="190" ht="12.75" customHeight="1">
      <c r="C190" s="1"/>
      <c r="D190" s="1"/>
      <c r="G190" s="4"/>
      <c r="I190" s="6"/>
    </row>
    <row r="191" ht="12.75" customHeight="1">
      <c r="C191" s="1"/>
      <c r="D191" s="1"/>
      <c r="G191" s="4"/>
      <c r="I191" s="6"/>
    </row>
    <row r="192" ht="12.75" customHeight="1">
      <c r="C192" s="1"/>
      <c r="D192" s="1"/>
      <c r="G192" s="4"/>
      <c r="I192" s="6"/>
    </row>
    <row r="193" ht="12.75" customHeight="1">
      <c r="C193" s="1"/>
      <c r="D193" s="1"/>
      <c r="G193" s="4"/>
      <c r="I193" s="6"/>
    </row>
    <row r="194" ht="12.75" customHeight="1">
      <c r="C194" s="1"/>
      <c r="D194" s="1"/>
      <c r="G194" s="4"/>
      <c r="I194" s="6"/>
    </row>
    <row r="195" ht="12.75" customHeight="1">
      <c r="C195" s="1"/>
      <c r="D195" s="1"/>
      <c r="G195" s="4"/>
      <c r="I195" s="6"/>
    </row>
    <row r="196" ht="12.75" customHeight="1">
      <c r="C196" s="1"/>
      <c r="D196" s="1"/>
      <c r="G196" s="4"/>
      <c r="I196" s="6"/>
    </row>
    <row r="197" ht="12.75" customHeight="1">
      <c r="C197" s="1"/>
      <c r="D197" s="1"/>
      <c r="G197" s="4"/>
      <c r="I197" s="6"/>
    </row>
    <row r="198" ht="12.75" customHeight="1">
      <c r="C198" s="1"/>
      <c r="D198" s="1"/>
      <c r="G198" s="4"/>
      <c r="I198" s="6"/>
    </row>
    <row r="199" ht="12.75" customHeight="1">
      <c r="C199" s="1"/>
      <c r="D199" s="1"/>
      <c r="G199" s="4"/>
      <c r="I199" s="6"/>
    </row>
    <row r="200" ht="12.75" customHeight="1">
      <c r="C200" s="1"/>
      <c r="D200" s="1"/>
      <c r="G200" s="4"/>
      <c r="I200" s="6"/>
    </row>
    <row r="201" ht="12.75" customHeight="1">
      <c r="C201" s="1"/>
      <c r="D201" s="1"/>
      <c r="G201" s="4"/>
      <c r="I201" s="6"/>
    </row>
    <row r="202" ht="12.75" customHeight="1">
      <c r="C202" s="1"/>
      <c r="D202" s="1"/>
      <c r="G202" s="4"/>
      <c r="I202" s="6"/>
    </row>
    <row r="203" ht="12.75" customHeight="1">
      <c r="C203" s="1"/>
      <c r="D203" s="1"/>
      <c r="G203" s="4"/>
      <c r="I203" s="6"/>
    </row>
    <row r="204" ht="12.75" customHeight="1">
      <c r="C204" s="1"/>
      <c r="D204" s="1"/>
      <c r="G204" s="4"/>
      <c r="I204" s="6"/>
    </row>
    <row r="205" ht="12.75" customHeight="1">
      <c r="C205" s="1"/>
      <c r="D205" s="1"/>
      <c r="G205" s="4"/>
      <c r="I205" s="6"/>
    </row>
    <row r="206" ht="12.75" customHeight="1">
      <c r="C206" s="1"/>
      <c r="D206" s="1"/>
      <c r="G206" s="4"/>
      <c r="I206" s="6"/>
    </row>
    <row r="207" ht="12.75" customHeight="1">
      <c r="C207" s="1"/>
      <c r="D207" s="1"/>
      <c r="G207" s="4"/>
      <c r="I207" s="6"/>
    </row>
    <row r="208" ht="12.75" customHeight="1">
      <c r="C208" s="1"/>
      <c r="D208" s="1"/>
      <c r="G208" s="4"/>
      <c r="I208" s="6"/>
    </row>
    <row r="209" ht="12.75" customHeight="1">
      <c r="C209" s="1"/>
      <c r="D209" s="1"/>
      <c r="G209" s="4"/>
      <c r="I209" s="6"/>
    </row>
    <row r="210" ht="12.75" customHeight="1">
      <c r="C210" s="1"/>
      <c r="D210" s="1"/>
      <c r="G210" s="4"/>
      <c r="I210" s="6"/>
    </row>
    <row r="211" ht="12.75" customHeight="1">
      <c r="C211" s="1"/>
      <c r="D211" s="1"/>
      <c r="G211" s="4"/>
      <c r="I211" s="6"/>
    </row>
    <row r="212" ht="12.75" customHeight="1">
      <c r="C212" s="1"/>
      <c r="D212" s="1"/>
      <c r="G212" s="4"/>
      <c r="I212" s="6"/>
    </row>
    <row r="213" ht="12.75" customHeight="1">
      <c r="C213" s="1"/>
      <c r="D213" s="1"/>
      <c r="G213" s="4"/>
      <c r="I213" s="6"/>
    </row>
    <row r="214" ht="12.75" customHeight="1">
      <c r="C214" s="1"/>
      <c r="D214" s="1"/>
      <c r="G214" s="4"/>
      <c r="I214" s="6"/>
    </row>
    <row r="215" ht="12.75" customHeight="1">
      <c r="C215" s="1"/>
      <c r="D215" s="1"/>
      <c r="G215" s="4"/>
      <c r="I215" s="6"/>
    </row>
    <row r="216" ht="12.75" customHeight="1">
      <c r="C216" s="1"/>
      <c r="D216" s="1"/>
      <c r="G216" s="4"/>
      <c r="I216" s="6"/>
    </row>
    <row r="217" ht="12.75" customHeight="1">
      <c r="C217" s="1"/>
      <c r="D217" s="1"/>
      <c r="G217" s="4"/>
      <c r="I217" s="6"/>
    </row>
    <row r="218" ht="12.75" customHeight="1">
      <c r="C218" s="1"/>
      <c r="D218" s="1"/>
      <c r="G218" s="4"/>
      <c r="I218" s="6"/>
    </row>
    <row r="219" ht="12.75" customHeight="1">
      <c r="C219" s="1"/>
      <c r="D219" s="1"/>
      <c r="G219" s="4"/>
      <c r="I219" s="6"/>
    </row>
    <row r="220" ht="12.75" customHeight="1">
      <c r="C220" s="1"/>
      <c r="D220" s="1"/>
      <c r="G220" s="4"/>
      <c r="I220" s="6"/>
    </row>
    <row r="221" ht="12.75" customHeight="1">
      <c r="C221" s="1"/>
      <c r="D221" s="1"/>
      <c r="G221" s="4"/>
      <c r="I221" s="6"/>
    </row>
    <row r="222" ht="12.75" customHeight="1">
      <c r="C222" s="1"/>
      <c r="D222" s="1"/>
      <c r="G222" s="4"/>
      <c r="I222" s="6"/>
    </row>
    <row r="223" ht="12.75" customHeight="1">
      <c r="C223" s="1"/>
      <c r="D223" s="1"/>
      <c r="G223" s="4"/>
      <c r="I223" s="6"/>
    </row>
    <row r="224" ht="12.75" customHeight="1">
      <c r="C224" s="1"/>
      <c r="D224" s="1"/>
      <c r="G224" s="4"/>
      <c r="I224" s="6"/>
    </row>
    <row r="225" ht="12.75" customHeight="1">
      <c r="C225" s="1"/>
      <c r="D225" s="1"/>
      <c r="G225" s="4"/>
      <c r="I225" s="6"/>
    </row>
    <row r="226" ht="12.75" customHeight="1">
      <c r="C226" s="1"/>
      <c r="D226" s="1"/>
      <c r="G226" s="4"/>
      <c r="I226" s="6"/>
    </row>
    <row r="227" ht="12.75" customHeight="1">
      <c r="C227" s="1"/>
      <c r="D227" s="1"/>
      <c r="G227" s="4"/>
      <c r="I227" s="6"/>
    </row>
    <row r="228" ht="12.75" customHeight="1">
      <c r="C228" s="1"/>
      <c r="D228" s="1"/>
      <c r="G228" s="4"/>
      <c r="I228" s="6"/>
    </row>
    <row r="229" ht="12.75" customHeight="1">
      <c r="C229" s="1"/>
      <c r="D229" s="1"/>
      <c r="G229" s="4"/>
      <c r="I229" s="6"/>
    </row>
    <row r="230" ht="12.75" customHeight="1">
      <c r="C230" s="1"/>
      <c r="D230" s="1"/>
      <c r="G230" s="4"/>
      <c r="I230" s="6"/>
    </row>
    <row r="231" ht="12.75" customHeight="1">
      <c r="C231" s="1"/>
      <c r="D231" s="1"/>
      <c r="G231" s="4"/>
      <c r="I231" s="6"/>
    </row>
    <row r="232" ht="12.75" customHeight="1">
      <c r="C232" s="1"/>
      <c r="D232" s="1"/>
      <c r="G232" s="4"/>
      <c r="I232" s="6"/>
    </row>
    <row r="233" ht="12.75" customHeight="1">
      <c r="C233" s="1"/>
      <c r="D233" s="1"/>
      <c r="G233" s="4"/>
      <c r="I233" s="6"/>
    </row>
    <row r="234" ht="12.75" customHeight="1">
      <c r="C234" s="1"/>
      <c r="D234" s="1"/>
      <c r="G234" s="4"/>
      <c r="I234" s="6"/>
    </row>
    <row r="235" ht="12.75" customHeight="1">
      <c r="C235" s="1"/>
      <c r="D235" s="1"/>
      <c r="G235" s="4"/>
      <c r="I235" s="6"/>
    </row>
    <row r="236" ht="12.75" customHeight="1">
      <c r="C236" s="1"/>
      <c r="D236" s="1"/>
      <c r="G236" s="4"/>
      <c r="I236" s="6"/>
    </row>
    <row r="237" ht="12.75" customHeight="1">
      <c r="C237" s="1"/>
      <c r="D237" s="1"/>
      <c r="G237" s="4"/>
      <c r="I237" s="6"/>
    </row>
    <row r="238" ht="12.75" customHeight="1">
      <c r="C238" s="1"/>
      <c r="D238" s="1"/>
      <c r="G238" s="4"/>
      <c r="I238" s="6"/>
    </row>
    <row r="239" ht="12.75" customHeight="1">
      <c r="C239" s="1"/>
      <c r="D239" s="1"/>
      <c r="G239" s="4"/>
      <c r="I239" s="6"/>
    </row>
    <row r="240" ht="12.75" customHeight="1">
      <c r="C240" s="1"/>
      <c r="D240" s="1"/>
      <c r="G240" s="4"/>
      <c r="I240" s="6"/>
    </row>
    <row r="241" ht="12.75" customHeight="1">
      <c r="C241" s="1"/>
      <c r="D241" s="1"/>
      <c r="G241" s="4"/>
      <c r="I241" s="6"/>
    </row>
    <row r="242" ht="12.75" customHeight="1">
      <c r="C242" s="1"/>
      <c r="D242" s="1"/>
      <c r="G242" s="4"/>
      <c r="I242" s="6"/>
    </row>
    <row r="243" ht="12.75" customHeight="1">
      <c r="C243" s="1"/>
      <c r="D243" s="1"/>
      <c r="G243" s="4"/>
      <c r="I243" s="6"/>
    </row>
    <row r="244" ht="12.75" customHeight="1">
      <c r="C244" s="1"/>
      <c r="D244" s="1"/>
      <c r="G244" s="4"/>
      <c r="I244" s="6"/>
    </row>
    <row r="245" ht="12.75" customHeight="1">
      <c r="C245" s="1"/>
      <c r="D245" s="1"/>
      <c r="G245" s="4"/>
      <c r="I245" s="6"/>
    </row>
    <row r="246" ht="12.75" customHeight="1">
      <c r="C246" s="1"/>
      <c r="D246" s="1"/>
      <c r="G246" s="4"/>
      <c r="I246" s="6"/>
    </row>
    <row r="247" ht="12.75" customHeight="1">
      <c r="C247" s="1"/>
      <c r="D247" s="1"/>
      <c r="G247" s="4"/>
      <c r="I247" s="6"/>
    </row>
    <row r="248" ht="12.75" customHeight="1">
      <c r="C248" s="1"/>
      <c r="D248" s="1"/>
      <c r="G248" s="4"/>
      <c r="I248" s="6"/>
    </row>
    <row r="249" ht="12.75" customHeight="1">
      <c r="C249" s="1"/>
      <c r="D249" s="1"/>
      <c r="G249" s="4"/>
      <c r="I249" s="6"/>
    </row>
    <row r="250" ht="12.75" customHeight="1">
      <c r="C250" s="1"/>
      <c r="D250" s="1"/>
      <c r="G250" s="4"/>
      <c r="I250" s="6"/>
    </row>
    <row r="251" ht="12.75" customHeight="1">
      <c r="C251" s="1"/>
      <c r="D251" s="1"/>
      <c r="G251" s="4"/>
      <c r="I251" s="6"/>
    </row>
    <row r="252" ht="12.75" customHeight="1">
      <c r="C252" s="1"/>
      <c r="D252" s="1"/>
      <c r="G252" s="4"/>
      <c r="I252" s="6"/>
    </row>
    <row r="253" ht="12.75" customHeight="1">
      <c r="C253" s="1"/>
      <c r="D253" s="1"/>
      <c r="G253" s="4"/>
      <c r="I253" s="6"/>
    </row>
    <row r="254" ht="12.75" customHeight="1">
      <c r="C254" s="1"/>
      <c r="D254" s="1"/>
      <c r="G254" s="4"/>
      <c r="I254" s="6"/>
    </row>
    <row r="255" ht="12.75" customHeight="1">
      <c r="C255" s="1"/>
      <c r="D255" s="1"/>
      <c r="G255" s="4"/>
      <c r="I255" s="6"/>
    </row>
    <row r="256" ht="12.75" customHeight="1">
      <c r="C256" s="1"/>
      <c r="D256" s="1"/>
      <c r="G256" s="4"/>
      <c r="I256" s="6"/>
    </row>
    <row r="257" ht="12.75" customHeight="1">
      <c r="C257" s="1"/>
      <c r="D257" s="1"/>
      <c r="G257" s="4"/>
      <c r="I257" s="6"/>
    </row>
    <row r="258" ht="12.75" customHeight="1">
      <c r="C258" s="1"/>
      <c r="D258" s="1"/>
      <c r="G258" s="4"/>
      <c r="I258" s="6"/>
    </row>
    <row r="259" ht="12.75" customHeight="1">
      <c r="C259" s="1"/>
      <c r="D259" s="1"/>
      <c r="G259" s="4"/>
      <c r="I259" s="6"/>
    </row>
    <row r="260" ht="12.75" customHeight="1">
      <c r="C260" s="1"/>
      <c r="D260" s="1"/>
      <c r="G260" s="4"/>
      <c r="I260" s="6"/>
    </row>
    <row r="261" ht="12.75" customHeight="1">
      <c r="C261" s="1"/>
      <c r="D261" s="1"/>
      <c r="G261" s="4"/>
      <c r="I261" s="6"/>
    </row>
    <row r="262" ht="12.75" customHeight="1">
      <c r="C262" s="1"/>
      <c r="D262" s="1"/>
      <c r="G262" s="4"/>
      <c r="I262" s="6"/>
    </row>
    <row r="263" ht="12.75" customHeight="1">
      <c r="C263" s="1"/>
      <c r="D263" s="1"/>
      <c r="G263" s="4"/>
      <c r="I263" s="6"/>
    </row>
    <row r="264" ht="12.75" customHeight="1">
      <c r="C264" s="1"/>
      <c r="D264" s="1"/>
      <c r="G264" s="4"/>
      <c r="I264" s="6"/>
    </row>
    <row r="265" ht="12.75" customHeight="1">
      <c r="C265" s="1"/>
      <c r="D265" s="1"/>
      <c r="G265" s="4"/>
      <c r="I265" s="6"/>
    </row>
    <row r="266" ht="12.75" customHeight="1">
      <c r="C266" s="1"/>
      <c r="D266" s="1"/>
      <c r="G266" s="4"/>
      <c r="I266" s="6"/>
    </row>
    <row r="267" ht="12.75" customHeight="1">
      <c r="C267" s="1"/>
      <c r="D267" s="1"/>
      <c r="G267" s="4"/>
      <c r="I267" s="6"/>
    </row>
    <row r="268" ht="12.75" customHeight="1">
      <c r="C268" s="1"/>
      <c r="D268" s="1"/>
      <c r="G268" s="4"/>
      <c r="I268" s="6"/>
    </row>
    <row r="269" ht="12.75" customHeight="1">
      <c r="C269" s="1"/>
      <c r="D269" s="1"/>
      <c r="G269" s="4"/>
      <c r="I269" s="6"/>
    </row>
    <row r="270" ht="12.75" customHeight="1">
      <c r="C270" s="1"/>
      <c r="D270" s="1"/>
      <c r="G270" s="4"/>
      <c r="I270" s="6"/>
    </row>
    <row r="271" ht="12.75" customHeight="1">
      <c r="C271" s="1"/>
      <c r="D271" s="1"/>
      <c r="G271" s="4"/>
      <c r="I271" s="6"/>
    </row>
    <row r="272" ht="12.75" customHeight="1">
      <c r="C272" s="1"/>
      <c r="D272" s="1"/>
      <c r="G272" s="4"/>
      <c r="I272" s="6"/>
    </row>
    <row r="273" ht="12.75" customHeight="1">
      <c r="C273" s="1"/>
      <c r="D273" s="1"/>
      <c r="G273" s="4"/>
      <c r="I273" s="6"/>
    </row>
    <row r="274" ht="12.75" customHeight="1">
      <c r="C274" s="1"/>
      <c r="D274" s="1"/>
      <c r="G274" s="4"/>
      <c r="I274" s="6"/>
    </row>
    <row r="275" ht="12.75" customHeight="1">
      <c r="C275" s="1"/>
      <c r="D275" s="1"/>
      <c r="G275" s="4"/>
      <c r="I275" s="6"/>
    </row>
    <row r="276" ht="12.75" customHeight="1">
      <c r="C276" s="1"/>
      <c r="D276" s="1"/>
      <c r="G276" s="4"/>
      <c r="I276" s="6"/>
    </row>
    <row r="277" ht="12.75" customHeight="1">
      <c r="C277" s="1"/>
      <c r="D277" s="1"/>
      <c r="G277" s="4"/>
      <c r="I277" s="6"/>
    </row>
    <row r="278" ht="12.75" customHeight="1">
      <c r="C278" s="1"/>
      <c r="D278" s="1"/>
      <c r="G278" s="4"/>
      <c r="I278" s="6"/>
    </row>
    <row r="279" ht="12.75" customHeight="1">
      <c r="C279" s="1"/>
      <c r="D279" s="1"/>
      <c r="G279" s="4"/>
      <c r="I279" s="6"/>
    </row>
    <row r="280" ht="12.75" customHeight="1">
      <c r="C280" s="1"/>
      <c r="D280" s="1"/>
      <c r="G280" s="4"/>
      <c r="I280" s="6"/>
    </row>
    <row r="281" ht="12.75" customHeight="1">
      <c r="C281" s="1"/>
      <c r="D281" s="1"/>
      <c r="G281" s="4"/>
      <c r="I281" s="6"/>
    </row>
    <row r="282" ht="12.75" customHeight="1">
      <c r="C282" s="1"/>
      <c r="D282" s="1"/>
      <c r="G282" s="4"/>
      <c r="I282" s="6"/>
    </row>
    <row r="283" ht="12.75" customHeight="1">
      <c r="C283" s="1"/>
      <c r="D283" s="1"/>
      <c r="G283" s="4"/>
      <c r="I283" s="6"/>
    </row>
    <row r="284" ht="12.75" customHeight="1">
      <c r="C284" s="1"/>
      <c r="D284" s="1"/>
      <c r="G284" s="4"/>
      <c r="I284" s="6"/>
    </row>
    <row r="285" ht="12.75" customHeight="1">
      <c r="C285" s="1"/>
      <c r="D285" s="1"/>
      <c r="G285" s="4"/>
      <c r="I285" s="6"/>
    </row>
    <row r="286" ht="12.75" customHeight="1">
      <c r="C286" s="1"/>
      <c r="D286" s="1"/>
      <c r="G286" s="4"/>
      <c r="I286" s="6"/>
    </row>
    <row r="287" ht="12.75" customHeight="1">
      <c r="C287" s="1"/>
      <c r="D287" s="1"/>
      <c r="G287" s="4"/>
      <c r="I287" s="6"/>
    </row>
    <row r="288" ht="12.75" customHeight="1">
      <c r="C288" s="1"/>
      <c r="D288" s="1"/>
      <c r="G288" s="4"/>
      <c r="I288" s="6"/>
    </row>
    <row r="289" ht="12.75" customHeight="1">
      <c r="C289" s="1"/>
      <c r="D289" s="1"/>
      <c r="G289" s="4"/>
      <c r="I289" s="6"/>
    </row>
    <row r="290" ht="12.75" customHeight="1">
      <c r="C290" s="1"/>
      <c r="D290" s="1"/>
      <c r="G290" s="4"/>
      <c r="I290" s="6"/>
    </row>
    <row r="291" ht="12.75" customHeight="1">
      <c r="C291" s="1"/>
      <c r="D291" s="1"/>
      <c r="G291" s="4"/>
      <c r="I291" s="6"/>
    </row>
    <row r="292" ht="12.75" customHeight="1">
      <c r="C292" s="1"/>
      <c r="D292" s="1"/>
      <c r="G292" s="4"/>
      <c r="I292" s="6"/>
    </row>
    <row r="293" ht="12.75" customHeight="1">
      <c r="C293" s="1"/>
      <c r="D293" s="1"/>
      <c r="G293" s="4"/>
      <c r="I293" s="6"/>
    </row>
    <row r="294" ht="12.75" customHeight="1">
      <c r="C294" s="1"/>
      <c r="D294" s="1"/>
      <c r="G294" s="4"/>
      <c r="I294" s="6"/>
    </row>
    <row r="295" ht="12.75" customHeight="1">
      <c r="C295" s="1"/>
      <c r="D295" s="1"/>
      <c r="G295" s="4"/>
      <c r="I295" s="6"/>
    </row>
    <row r="296" ht="12.75" customHeight="1">
      <c r="C296" s="1"/>
      <c r="D296" s="1"/>
      <c r="G296" s="4"/>
      <c r="I296" s="6"/>
    </row>
    <row r="297" ht="12.75" customHeight="1">
      <c r="C297" s="1"/>
      <c r="D297" s="1"/>
      <c r="G297" s="4"/>
      <c r="I297" s="6"/>
    </row>
    <row r="298" ht="12.75" customHeight="1">
      <c r="C298" s="1"/>
      <c r="D298" s="1"/>
      <c r="G298" s="4"/>
      <c r="I298" s="6"/>
    </row>
    <row r="299" ht="12.75" customHeight="1">
      <c r="C299" s="1"/>
      <c r="D299" s="1"/>
      <c r="G299" s="4"/>
      <c r="I299" s="6"/>
    </row>
    <row r="300" ht="12.75" customHeight="1">
      <c r="C300" s="1"/>
      <c r="D300" s="1"/>
      <c r="G300" s="4"/>
      <c r="I300" s="6"/>
    </row>
    <row r="301" ht="12.75" customHeight="1">
      <c r="C301" s="1"/>
      <c r="D301" s="1"/>
      <c r="G301" s="4"/>
      <c r="I301" s="6"/>
    </row>
    <row r="302" ht="12.75" customHeight="1">
      <c r="C302" s="1"/>
      <c r="D302" s="1"/>
      <c r="G302" s="4"/>
      <c r="I302" s="6"/>
    </row>
    <row r="303" ht="12.75" customHeight="1">
      <c r="C303" s="1"/>
      <c r="D303" s="1"/>
      <c r="G303" s="4"/>
      <c r="I303" s="6"/>
    </row>
    <row r="304" ht="12.75" customHeight="1">
      <c r="C304" s="1"/>
      <c r="D304" s="1"/>
      <c r="G304" s="4"/>
      <c r="I304" s="6"/>
    </row>
    <row r="305" ht="12.75" customHeight="1">
      <c r="C305" s="1"/>
      <c r="D305" s="1"/>
      <c r="G305" s="4"/>
      <c r="I305" s="6"/>
    </row>
    <row r="306" ht="12.75" customHeight="1">
      <c r="C306" s="1"/>
      <c r="D306" s="1"/>
      <c r="G306" s="4"/>
      <c r="I306" s="6"/>
    </row>
    <row r="307" ht="12.75" customHeight="1">
      <c r="C307" s="1"/>
      <c r="D307" s="1"/>
      <c r="G307" s="4"/>
      <c r="I307" s="6"/>
    </row>
    <row r="308" ht="12.75" customHeight="1">
      <c r="C308" s="1"/>
      <c r="D308" s="1"/>
      <c r="G308" s="4"/>
      <c r="I308" s="6"/>
    </row>
    <row r="309" ht="12.75" customHeight="1">
      <c r="C309" s="1"/>
      <c r="D309" s="1"/>
      <c r="G309" s="4"/>
      <c r="I309" s="6"/>
    </row>
    <row r="310" ht="12.75" customHeight="1">
      <c r="C310" s="1"/>
      <c r="D310" s="1"/>
      <c r="G310" s="4"/>
      <c r="I310" s="6"/>
    </row>
    <row r="311" ht="12.75" customHeight="1">
      <c r="C311" s="1"/>
      <c r="D311" s="1"/>
      <c r="G311" s="4"/>
      <c r="I311" s="6"/>
    </row>
    <row r="312" ht="12.75" customHeight="1">
      <c r="C312" s="1"/>
      <c r="D312" s="1"/>
      <c r="G312" s="4"/>
      <c r="I312" s="6"/>
    </row>
    <row r="313" ht="12.75" customHeight="1">
      <c r="C313" s="1"/>
      <c r="D313" s="1"/>
      <c r="G313" s="4"/>
      <c r="I313" s="6"/>
    </row>
    <row r="314" ht="12.75" customHeight="1">
      <c r="C314" s="1"/>
      <c r="D314" s="1"/>
      <c r="G314" s="4"/>
      <c r="I314" s="6"/>
    </row>
    <row r="315" ht="12.75" customHeight="1">
      <c r="C315" s="1"/>
      <c r="D315" s="1"/>
      <c r="G315" s="4"/>
      <c r="I315" s="6"/>
    </row>
    <row r="316" ht="12.75" customHeight="1">
      <c r="C316" s="1"/>
      <c r="D316" s="1"/>
      <c r="G316" s="4"/>
      <c r="I316" s="6"/>
    </row>
    <row r="317" ht="12.75" customHeight="1">
      <c r="C317" s="1"/>
      <c r="D317" s="1"/>
      <c r="G317" s="4"/>
      <c r="I317" s="6"/>
    </row>
    <row r="318" ht="12.75" customHeight="1">
      <c r="C318" s="1"/>
      <c r="D318" s="1"/>
      <c r="G318" s="4"/>
      <c r="I318" s="6"/>
    </row>
    <row r="319" ht="12.75" customHeight="1">
      <c r="C319" s="1"/>
      <c r="D319" s="1"/>
      <c r="G319" s="4"/>
      <c r="I319" s="6"/>
    </row>
    <row r="320" ht="12.75" customHeight="1">
      <c r="C320" s="1"/>
      <c r="D320" s="1"/>
      <c r="G320" s="4"/>
      <c r="I320" s="6"/>
    </row>
    <row r="321" ht="12.75" customHeight="1">
      <c r="C321" s="1"/>
      <c r="D321" s="1"/>
      <c r="G321" s="4"/>
      <c r="I321" s="6"/>
    </row>
    <row r="322" ht="12.75" customHeight="1">
      <c r="C322" s="1"/>
      <c r="D322" s="1"/>
      <c r="G322" s="4"/>
      <c r="I322" s="6"/>
    </row>
    <row r="323" ht="12.75" customHeight="1">
      <c r="C323" s="1"/>
      <c r="D323" s="1"/>
      <c r="G323" s="4"/>
      <c r="I323" s="6"/>
    </row>
    <row r="324" ht="12.75" customHeight="1">
      <c r="C324" s="1"/>
      <c r="D324" s="1"/>
      <c r="G324" s="4"/>
      <c r="I324" s="6"/>
    </row>
    <row r="325" ht="12.75" customHeight="1">
      <c r="C325" s="1"/>
      <c r="D325" s="1"/>
      <c r="G325" s="4"/>
      <c r="I325" s="6"/>
    </row>
    <row r="326" ht="12.75" customHeight="1">
      <c r="C326" s="1"/>
      <c r="D326" s="1"/>
      <c r="G326" s="4"/>
      <c r="I326" s="6"/>
    </row>
    <row r="327" ht="12.75" customHeight="1">
      <c r="C327" s="1"/>
      <c r="D327" s="1"/>
      <c r="G327" s="4"/>
      <c r="I327" s="6"/>
    </row>
    <row r="328" ht="12.75" customHeight="1">
      <c r="C328" s="1"/>
      <c r="D328" s="1"/>
      <c r="G328" s="4"/>
      <c r="I328" s="6"/>
    </row>
    <row r="329" ht="12.75" customHeight="1">
      <c r="C329" s="1"/>
      <c r="D329" s="1"/>
      <c r="G329" s="4"/>
      <c r="I329" s="6"/>
    </row>
    <row r="330" ht="12.75" customHeight="1">
      <c r="C330" s="1"/>
      <c r="D330" s="1"/>
      <c r="G330" s="4"/>
      <c r="I330" s="6"/>
    </row>
    <row r="331" ht="12.75" customHeight="1">
      <c r="C331" s="1"/>
      <c r="D331" s="1"/>
      <c r="G331" s="4"/>
      <c r="I331" s="6"/>
    </row>
    <row r="332" ht="12.75" customHeight="1">
      <c r="C332" s="1"/>
      <c r="D332" s="1"/>
      <c r="G332" s="4"/>
      <c r="I332" s="6"/>
    </row>
    <row r="333" ht="12.75" customHeight="1">
      <c r="C333" s="1"/>
      <c r="D333" s="1"/>
      <c r="G333" s="4"/>
      <c r="I333" s="6"/>
    </row>
    <row r="334" ht="12.75" customHeight="1">
      <c r="C334" s="1"/>
      <c r="D334" s="1"/>
      <c r="G334" s="4"/>
      <c r="I334" s="6"/>
    </row>
    <row r="335" ht="12.75" customHeight="1">
      <c r="C335" s="1"/>
      <c r="D335" s="1"/>
      <c r="G335" s="4"/>
      <c r="I335" s="6"/>
    </row>
    <row r="336" ht="12.75" customHeight="1">
      <c r="C336" s="1"/>
      <c r="D336" s="1"/>
      <c r="G336" s="4"/>
      <c r="I336" s="6"/>
    </row>
    <row r="337" ht="12.75" customHeight="1">
      <c r="C337" s="1"/>
      <c r="D337" s="1"/>
      <c r="G337" s="4"/>
      <c r="I337" s="6"/>
    </row>
    <row r="338" ht="12.75" customHeight="1">
      <c r="C338" s="1"/>
      <c r="D338" s="1"/>
      <c r="G338" s="4"/>
      <c r="I338" s="6"/>
    </row>
    <row r="339" ht="12.75" customHeight="1">
      <c r="C339" s="1"/>
      <c r="D339" s="1"/>
      <c r="G339" s="4"/>
      <c r="I339" s="6"/>
    </row>
    <row r="340" ht="12.75" customHeight="1">
      <c r="C340" s="1"/>
      <c r="D340" s="1"/>
      <c r="G340" s="4"/>
      <c r="I340" s="6"/>
    </row>
    <row r="341" ht="12.75" customHeight="1">
      <c r="C341" s="1"/>
      <c r="D341" s="1"/>
      <c r="G341" s="4"/>
      <c r="I341" s="6"/>
    </row>
    <row r="342" ht="12.75" customHeight="1">
      <c r="C342" s="1"/>
      <c r="D342" s="1"/>
      <c r="G342" s="4"/>
      <c r="I342" s="6"/>
    </row>
    <row r="343" ht="12.75" customHeight="1">
      <c r="C343" s="1"/>
      <c r="D343" s="1"/>
      <c r="G343" s="4"/>
      <c r="I343" s="6"/>
    </row>
    <row r="344" ht="12.75" customHeight="1">
      <c r="C344" s="1"/>
      <c r="D344" s="1"/>
      <c r="G344" s="4"/>
      <c r="I344" s="6"/>
    </row>
    <row r="345" ht="12.75" customHeight="1">
      <c r="C345" s="1"/>
      <c r="D345" s="1"/>
      <c r="G345" s="4"/>
      <c r="I345" s="6"/>
    </row>
    <row r="346" ht="12.75" customHeight="1">
      <c r="C346" s="1"/>
      <c r="D346" s="1"/>
      <c r="G346" s="4"/>
      <c r="I346" s="6"/>
    </row>
    <row r="347" ht="12.75" customHeight="1">
      <c r="C347" s="1"/>
      <c r="D347" s="1"/>
      <c r="G347" s="4"/>
      <c r="I347" s="6"/>
    </row>
    <row r="348" ht="12.75" customHeight="1">
      <c r="C348" s="1"/>
      <c r="D348" s="1"/>
      <c r="G348" s="4"/>
      <c r="I348" s="6"/>
    </row>
    <row r="349" ht="12.75" customHeight="1">
      <c r="C349" s="1"/>
      <c r="D349" s="1"/>
      <c r="G349" s="4"/>
      <c r="I349" s="6"/>
    </row>
    <row r="350" ht="12.75" customHeight="1">
      <c r="C350" s="1"/>
      <c r="D350" s="1"/>
      <c r="G350" s="4"/>
      <c r="I350" s="6"/>
    </row>
    <row r="351" ht="12.75" customHeight="1">
      <c r="C351" s="1"/>
      <c r="D351" s="1"/>
      <c r="G351" s="4"/>
      <c r="I351" s="6"/>
    </row>
    <row r="352" ht="12.75" customHeight="1">
      <c r="C352" s="1"/>
      <c r="D352" s="1"/>
      <c r="G352" s="4"/>
      <c r="I352" s="6"/>
    </row>
    <row r="353" ht="12.75" customHeight="1">
      <c r="C353" s="1"/>
      <c r="D353" s="1"/>
      <c r="G353" s="4"/>
      <c r="I353" s="6"/>
    </row>
    <row r="354" ht="12.75" customHeight="1">
      <c r="C354" s="1"/>
      <c r="D354" s="1"/>
      <c r="G354" s="4"/>
      <c r="I354" s="6"/>
    </row>
    <row r="355" ht="12.75" customHeight="1">
      <c r="C355" s="1"/>
      <c r="D355" s="1"/>
      <c r="G355" s="4"/>
      <c r="I355" s="6"/>
    </row>
    <row r="356" ht="12.75" customHeight="1">
      <c r="C356" s="1"/>
      <c r="D356" s="1"/>
      <c r="G356" s="4"/>
      <c r="I356" s="6"/>
    </row>
    <row r="357" ht="12.75" customHeight="1">
      <c r="C357" s="1"/>
      <c r="D357" s="1"/>
      <c r="G357" s="4"/>
      <c r="I357" s="6"/>
    </row>
    <row r="358" ht="12.75" customHeight="1">
      <c r="C358" s="1"/>
      <c r="D358" s="1"/>
      <c r="G358" s="4"/>
      <c r="I358" s="6"/>
    </row>
    <row r="359" ht="12.75" customHeight="1">
      <c r="C359" s="1"/>
      <c r="D359" s="1"/>
      <c r="G359" s="4"/>
      <c r="I359" s="6"/>
    </row>
    <row r="360" ht="12.75" customHeight="1">
      <c r="C360" s="1"/>
      <c r="D360" s="1"/>
      <c r="G360" s="4"/>
      <c r="I360" s="6"/>
    </row>
    <row r="361" ht="12.75" customHeight="1">
      <c r="C361" s="1"/>
      <c r="D361" s="1"/>
      <c r="G361" s="4"/>
      <c r="I361" s="6"/>
    </row>
    <row r="362" ht="12.75" customHeight="1">
      <c r="C362" s="1"/>
      <c r="D362" s="1"/>
      <c r="G362" s="4"/>
      <c r="I362" s="6"/>
    </row>
    <row r="363" ht="12.75" customHeight="1">
      <c r="C363" s="1"/>
      <c r="D363" s="1"/>
      <c r="G363" s="4"/>
      <c r="I363" s="6"/>
    </row>
    <row r="364" ht="12.75" customHeight="1">
      <c r="C364" s="1"/>
      <c r="D364" s="1"/>
      <c r="G364" s="4"/>
      <c r="I364" s="6"/>
    </row>
    <row r="365" ht="12.75" customHeight="1">
      <c r="C365" s="1"/>
      <c r="D365" s="1"/>
      <c r="G365" s="4"/>
      <c r="I365" s="6"/>
    </row>
    <row r="366" ht="12.75" customHeight="1">
      <c r="C366" s="1"/>
      <c r="D366" s="1"/>
      <c r="G366" s="4"/>
      <c r="I366" s="6"/>
    </row>
    <row r="367" ht="12.75" customHeight="1">
      <c r="C367" s="1"/>
      <c r="D367" s="1"/>
      <c r="G367" s="4"/>
      <c r="I367" s="6"/>
    </row>
    <row r="368" ht="12.75" customHeight="1">
      <c r="C368" s="1"/>
      <c r="D368" s="1"/>
      <c r="G368" s="4"/>
      <c r="I368" s="6"/>
    </row>
    <row r="369" ht="12.75" customHeight="1">
      <c r="C369" s="1"/>
      <c r="D369" s="1"/>
      <c r="G369" s="4"/>
      <c r="I369" s="6"/>
    </row>
    <row r="370" ht="12.75" customHeight="1">
      <c r="C370" s="1"/>
      <c r="D370" s="1"/>
      <c r="G370" s="4"/>
      <c r="I370" s="6"/>
    </row>
    <row r="371" ht="12.75" customHeight="1">
      <c r="C371" s="1"/>
      <c r="D371" s="1"/>
      <c r="G371" s="4"/>
      <c r="I371" s="6"/>
    </row>
    <row r="372" ht="12.75" customHeight="1">
      <c r="C372" s="1"/>
      <c r="D372" s="1"/>
      <c r="G372" s="4"/>
      <c r="I372" s="6"/>
    </row>
    <row r="373" ht="12.75" customHeight="1">
      <c r="C373" s="1"/>
      <c r="D373" s="1"/>
      <c r="G373" s="4"/>
      <c r="I373" s="6"/>
    </row>
    <row r="374" ht="12.75" customHeight="1">
      <c r="C374" s="1"/>
      <c r="D374" s="1"/>
      <c r="G374" s="4"/>
      <c r="I374" s="6"/>
    </row>
    <row r="375" ht="12.75" customHeight="1">
      <c r="C375" s="1"/>
      <c r="D375" s="1"/>
      <c r="G375" s="4"/>
      <c r="I375" s="6"/>
    </row>
    <row r="376" ht="12.75" customHeight="1">
      <c r="C376" s="1"/>
      <c r="D376" s="1"/>
      <c r="G376" s="4"/>
      <c r="I376" s="6"/>
    </row>
    <row r="377" ht="12.75" customHeight="1">
      <c r="C377" s="1"/>
      <c r="D377" s="1"/>
      <c r="G377" s="4"/>
      <c r="I377" s="6"/>
    </row>
    <row r="378" ht="12.75" customHeight="1">
      <c r="C378" s="1"/>
      <c r="D378" s="1"/>
      <c r="G378" s="4"/>
      <c r="I378" s="6"/>
    </row>
    <row r="379" ht="12.75" customHeight="1">
      <c r="C379" s="1"/>
      <c r="D379" s="1"/>
      <c r="G379" s="4"/>
      <c r="I379" s="6"/>
    </row>
    <row r="380" ht="12.75" customHeight="1">
      <c r="C380" s="1"/>
      <c r="D380" s="1"/>
      <c r="G380" s="4"/>
      <c r="I380" s="6"/>
    </row>
    <row r="381" ht="12.75" customHeight="1">
      <c r="C381" s="1"/>
      <c r="D381" s="1"/>
      <c r="G381" s="4"/>
      <c r="I381" s="6"/>
    </row>
    <row r="382" ht="12.75" customHeight="1">
      <c r="C382" s="1"/>
      <c r="D382" s="1"/>
      <c r="G382" s="4"/>
      <c r="I382" s="6"/>
    </row>
    <row r="383" ht="12.75" customHeight="1">
      <c r="C383" s="1"/>
      <c r="D383" s="1"/>
      <c r="G383" s="4"/>
      <c r="I383" s="6"/>
    </row>
    <row r="384" ht="12.75" customHeight="1">
      <c r="C384" s="1"/>
      <c r="D384" s="1"/>
      <c r="G384" s="4"/>
      <c r="I384" s="6"/>
    </row>
    <row r="385" ht="12.75" customHeight="1">
      <c r="C385" s="1"/>
      <c r="D385" s="1"/>
      <c r="G385" s="4"/>
      <c r="I385" s="6"/>
    </row>
    <row r="386" ht="12.75" customHeight="1">
      <c r="C386" s="1"/>
      <c r="D386" s="1"/>
      <c r="G386" s="4"/>
      <c r="I386" s="6"/>
    </row>
    <row r="387" ht="12.75" customHeight="1">
      <c r="C387" s="1"/>
      <c r="D387" s="1"/>
      <c r="G387" s="4"/>
      <c r="I387" s="6"/>
    </row>
    <row r="388" ht="12.75" customHeight="1">
      <c r="C388" s="1"/>
      <c r="D388" s="1"/>
      <c r="G388" s="4"/>
      <c r="I388" s="6"/>
    </row>
    <row r="389" ht="12.75" customHeight="1">
      <c r="C389" s="1"/>
      <c r="D389" s="1"/>
      <c r="G389" s="4"/>
      <c r="I389" s="6"/>
    </row>
    <row r="390" ht="12.75" customHeight="1">
      <c r="C390" s="1"/>
      <c r="D390" s="1"/>
      <c r="G390" s="4"/>
      <c r="I390" s="6"/>
    </row>
    <row r="391" ht="12.75" customHeight="1">
      <c r="C391" s="1"/>
      <c r="D391" s="1"/>
      <c r="G391" s="4"/>
      <c r="I391" s="6"/>
    </row>
    <row r="392" ht="12.75" customHeight="1">
      <c r="C392" s="1"/>
      <c r="D392" s="1"/>
      <c r="G392" s="4"/>
      <c r="I392" s="6"/>
    </row>
    <row r="393" ht="12.75" customHeight="1">
      <c r="C393" s="1"/>
      <c r="D393" s="1"/>
      <c r="G393" s="4"/>
      <c r="I393" s="6"/>
    </row>
    <row r="394" ht="12.75" customHeight="1">
      <c r="C394" s="1"/>
      <c r="D394" s="1"/>
      <c r="G394" s="4"/>
      <c r="I394" s="6"/>
    </row>
    <row r="395" ht="12.75" customHeight="1">
      <c r="C395" s="1"/>
      <c r="D395" s="1"/>
      <c r="G395" s="4"/>
      <c r="I395" s="6"/>
    </row>
    <row r="396" ht="12.75" customHeight="1">
      <c r="C396" s="1"/>
      <c r="D396" s="1"/>
      <c r="G396" s="4"/>
      <c r="I396" s="6"/>
    </row>
    <row r="397" ht="12.75" customHeight="1">
      <c r="C397" s="1"/>
      <c r="D397" s="1"/>
      <c r="G397" s="4"/>
      <c r="I397" s="6"/>
    </row>
    <row r="398" ht="12.75" customHeight="1">
      <c r="C398" s="1"/>
      <c r="D398" s="1"/>
      <c r="G398" s="4"/>
      <c r="I398" s="6"/>
    </row>
    <row r="399" ht="12.75" customHeight="1">
      <c r="C399" s="1"/>
      <c r="D399" s="1"/>
      <c r="G399" s="4"/>
      <c r="I399" s="6"/>
    </row>
    <row r="400" ht="12.75" customHeight="1">
      <c r="C400" s="1"/>
      <c r="D400" s="1"/>
      <c r="G400" s="4"/>
      <c r="I400" s="6"/>
    </row>
    <row r="401" ht="12.75" customHeight="1">
      <c r="C401" s="1"/>
      <c r="D401" s="1"/>
      <c r="G401" s="4"/>
      <c r="I401" s="6"/>
    </row>
    <row r="402" ht="12.75" customHeight="1">
      <c r="C402" s="1"/>
      <c r="D402" s="1"/>
      <c r="G402" s="4"/>
      <c r="I402" s="6"/>
    </row>
    <row r="403" ht="12.75" customHeight="1">
      <c r="C403" s="1"/>
      <c r="D403" s="1"/>
      <c r="G403" s="4"/>
      <c r="I403" s="6"/>
    </row>
    <row r="404" ht="12.75" customHeight="1">
      <c r="C404" s="1"/>
      <c r="D404" s="1"/>
      <c r="G404" s="4"/>
      <c r="I404" s="6"/>
    </row>
    <row r="405" ht="12.75" customHeight="1">
      <c r="C405" s="1"/>
      <c r="D405" s="1"/>
      <c r="G405" s="4"/>
      <c r="I405" s="6"/>
    </row>
    <row r="406" ht="12.75" customHeight="1">
      <c r="C406" s="1"/>
      <c r="D406" s="1"/>
      <c r="G406" s="4"/>
      <c r="I406" s="6"/>
    </row>
    <row r="407" ht="12.75" customHeight="1">
      <c r="C407" s="1"/>
      <c r="D407" s="1"/>
      <c r="G407" s="4"/>
      <c r="I407" s="6"/>
    </row>
    <row r="408" ht="12.75" customHeight="1">
      <c r="C408" s="1"/>
      <c r="D408" s="1"/>
      <c r="G408" s="4"/>
      <c r="I408" s="6"/>
    </row>
    <row r="409" ht="12.75" customHeight="1">
      <c r="C409" s="1"/>
      <c r="D409" s="1"/>
      <c r="G409" s="4"/>
      <c r="I409" s="6"/>
    </row>
    <row r="410" ht="12.75" customHeight="1">
      <c r="C410" s="1"/>
      <c r="D410" s="1"/>
      <c r="G410" s="4"/>
      <c r="I410" s="6"/>
    </row>
    <row r="411" ht="12.75" customHeight="1">
      <c r="C411" s="1"/>
      <c r="D411" s="1"/>
      <c r="G411" s="4"/>
      <c r="I411" s="6"/>
    </row>
    <row r="412" ht="12.75" customHeight="1">
      <c r="C412" s="1"/>
      <c r="D412" s="1"/>
      <c r="G412" s="4"/>
      <c r="I412" s="6"/>
    </row>
    <row r="413" ht="12.75" customHeight="1">
      <c r="C413" s="1"/>
      <c r="D413" s="1"/>
      <c r="G413" s="4"/>
      <c r="I413" s="6"/>
    </row>
    <row r="414" ht="12.75" customHeight="1">
      <c r="C414" s="1"/>
      <c r="D414" s="1"/>
      <c r="G414" s="4"/>
      <c r="I414" s="6"/>
    </row>
    <row r="415" ht="12.75" customHeight="1">
      <c r="C415" s="1"/>
      <c r="D415" s="1"/>
      <c r="G415" s="4"/>
      <c r="I415" s="6"/>
    </row>
    <row r="416" ht="12.75" customHeight="1">
      <c r="C416" s="1"/>
      <c r="D416" s="1"/>
      <c r="G416" s="4"/>
      <c r="I416" s="6"/>
    </row>
    <row r="417" ht="12.75" customHeight="1">
      <c r="C417" s="1"/>
      <c r="D417" s="1"/>
      <c r="G417" s="4"/>
      <c r="I417" s="6"/>
    </row>
    <row r="418" ht="12.75" customHeight="1">
      <c r="C418" s="1"/>
      <c r="D418" s="1"/>
      <c r="G418" s="4"/>
      <c r="I418" s="6"/>
    </row>
    <row r="419" ht="12.75" customHeight="1">
      <c r="C419" s="1"/>
      <c r="D419" s="1"/>
      <c r="G419" s="4"/>
      <c r="I419" s="6"/>
    </row>
    <row r="420" ht="12.75" customHeight="1">
      <c r="C420" s="1"/>
      <c r="D420" s="1"/>
      <c r="G420" s="4"/>
      <c r="I420" s="6"/>
    </row>
    <row r="421" ht="12.75" customHeight="1">
      <c r="C421" s="1"/>
      <c r="D421" s="1"/>
      <c r="G421" s="4"/>
      <c r="I421" s="6"/>
    </row>
    <row r="422" ht="12.75" customHeight="1">
      <c r="C422" s="1"/>
      <c r="D422" s="1"/>
      <c r="G422" s="4"/>
      <c r="I422" s="6"/>
    </row>
    <row r="423" ht="12.75" customHeight="1">
      <c r="C423" s="1"/>
      <c r="D423" s="1"/>
      <c r="G423" s="4"/>
      <c r="I423" s="6"/>
    </row>
    <row r="424" ht="12.75" customHeight="1">
      <c r="C424" s="1"/>
      <c r="D424" s="1"/>
      <c r="G424" s="4"/>
      <c r="I424" s="6"/>
    </row>
    <row r="425" ht="12.75" customHeight="1">
      <c r="C425" s="1"/>
      <c r="D425" s="1"/>
      <c r="G425" s="4"/>
      <c r="I425" s="6"/>
    </row>
    <row r="426" ht="12.75" customHeight="1">
      <c r="C426" s="1"/>
      <c r="D426" s="1"/>
      <c r="G426" s="4"/>
      <c r="I426" s="6"/>
    </row>
    <row r="427" ht="12.75" customHeight="1">
      <c r="C427" s="1"/>
      <c r="D427" s="1"/>
      <c r="G427" s="4"/>
      <c r="I427" s="6"/>
    </row>
    <row r="428" ht="12.75" customHeight="1">
      <c r="C428" s="1"/>
      <c r="D428" s="1"/>
      <c r="G428" s="4"/>
      <c r="I428" s="6"/>
    </row>
    <row r="429" ht="12.75" customHeight="1">
      <c r="C429" s="1"/>
      <c r="D429" s="1"/>
      <c r="G429" s="4"/>
      <c r="I429" s="6"/>
    </row>
    <row r="430" ht="12.75" customHeight="1">
      <c r="C430" s="1"/>
      <c r="D430" s="1"/>
      <c r="G430" s="4"/>
      <c r="I430" s="6"/>
    </row>
    <row r="431" ht="12.75" customHeight="1">
      <c r="C431" s="1"/>
      <c r="D431" s="1"/>
      <c r="G431" s="4"/>
      <c r="I431" s="6"/>
    </row>
    <row r="432" ht="12.75" customHeight="1">
      <c r="C432" s="1"/>
      <c r="D432" s="1"/>
      <c r="G432" s="4"/>
      <c r="I432" s="6"/>
    </row>
    <row r="433" ht="12.75" customHeight="1">
      <c r="C433" s="1"/>
      <c r="D433" s="1"/>
      <c r="G433" s="4"/>
      <c r="I433" s="6"/>
    </row>
    <row r="434" ht="12.75" customHeight="1">
      <c r="C434" s="1"/>
      <c r="D434" s="1"/>
      <c r="G434" s="4"/>
      <c r="I434" s="6"/>
    </row>
    <row r="435" ht="12.75" customHeight="1">
      <c r="C435" s="1"/>
      <c r="D435" s="1"/>
      <c r="G435" s="4"/>
      <c r="I435" s="6"/>
    </row>
    <row r="436" ht="12.75" customHeight="1">
      <c r="C436" s="1"/>
      <c r="D436" s="1"/>
      <c r="G436" s="4"/>
      <c r="I436" s="6"/>
    </row>
    <row r="437" ht="12.75" customHeight="1">
      <c r="C437" s="1"/>
      <c r="D437" s="1"/>
      <c r="G437" s="4"/>
      <c r="I437" s="6"/>
    </row>
    <row r="438" ht="12.75" customHeight="1">
      <c r="C438" s="1"/>
      <c r="D438" s="1"/>
      <c r="G438" s="4"/>
      <c r="I438" s="6"/>
    </row>
    <row r="439" ht="12.75" customHeight="1">
      <c r="C439" s="1"/>
      <c r="D439" s="1"/>
      <c r="G439" s="4"/>
      <c r="I439" s="6"/>
    </row>
    <row r="440" ht="12.75" customHeight="1">
      <c r="C440" s="1"/>
      <c r="D440" s="1"/>
      <c r="G440" s="4"/>
      <c r="I440" s="6"/>
    </row>
    <row r="441" ht="12.75" customHeight="1">
      <c r="C441" s="1"/>
      <c r="D441" s="1"/>
      <c r="G441" s="4"/>
      <c r="I441" s="6"/>
    </row>
    <row r="442" ht="12.75" customHeight="1">
      <c r="C442" s="1"/>
      <c r="D442" s="1"/>
      <c r="G442" s="4"/>
      <c r="I442" s="6"/>
    </row>
    <row r="443" ht="12.75" customHeight="1">
      <c r="C443" s="1"/>
      <c r="D443" s="1"/>
      <c r="G443" s="4"/>
      <c r="I443" s="6"/>
    </row>
    <row r="444" ht="12.75" customHeight="1">
      <c r="C444" s="1"/>
      <c r="D444" s="1"/>
      <c r="G444" s="4"/>
      <c r="I444" s="6"/>
    </row>
    <row r="445" ht="12.75" customHeight="1">
      <c r="C445" s="1"/>
      <c r="D445" s="1"/>
      <c r="G445" s="4"/>
      <c r="I445" s="6"/>
    </row>
    <row r="446" ht="12.75" customHeight="1">
      <c r="C446" s="1"/>
      <c r="D446" s="1"/>
      <c r="G446" s="4"/>
      <c r="I446" s="6"/>
    </row>
    <row r="447" ht="12.75" customHeight="1">
      <c r="C447" s="1"/>
      <c r="D447" s="1"/>
      <c r="G447" s="4"/>
      <c r="I447" s="6"/>
    </row>
    <row r="448" ht="12.75" customHeight="1">
      <c r="C448" s="1"/>
      <c r="D448" s="1"/>
      <c r="G448" s="4"/>
      <c r="I448" s="6"/>
    </row>
    <row r="449" ht="12.75" customHeight="1">
      <c r="C449" s="1"/>
      <c r="D449" s="1"/>
      <c r="G449" s="4"/>
      <c r="I449" s="6"/>
    </row>
    <row r="450" ht="12.75" customHeight="1">
      <c r="C450" s="1"/>
      <c r="D450" s="1"/>
      <c r="G450" s="4"/>
      <c r="I450" s="6"/>
    </row>
    <row r="451" ht="12.75" customHeight="1">
      <c r="C451" s="1"/>
      <c r="D451" s="1"/>
      <c r="G451" s="4"/>
      <c r="I451" s="6"/>
    </row>
    <row r="452" ht="12.75" customHeight="1">
      <c r="C452" s="1"/>
      <c r="D452" s="1"/>
      <c r="G452" s="4"/>
      <c r="I452" s="6"/>
    </row>
    <row r="453" ht="12.75" customHeight="1">
      <c r="C453" s="1"/>
      <c r="D453" s="1"/>
      <c r="G453" s="4"/>
      <c r="I453" s="6"/>
    </row>
    <row r="454" ht="12.75" customHeight="1">
      <c r="C454" s="1"/>
      <c r="D454" s="1"/>
      <c r="G454" s="4"/>
      <c r="I454" s="6"/>
    </row>
    <row r="455" ht="12.75" customHeight="1">
      <c r="C455" s="1"/>
      <c r="D455" s="1"/>
      <c r="G455" s="4"/>
      <c r="I455" s="6"/>
    </row>
    <row r="456" ht="12.75" customHeight="1">
      <c r="C456" s="1"/>
      <c r="D456" s="1"/>
      <c r="G456" s="4"/>
      <c r="I456" s="6"/>
    </row>
    <row r="457" ht="12.75" customHeight="1">
      <c r="C457" s="1"/>
      <c r="D457" s="1"/>
      <c r="G457" s="4"/>
      <c r="I457" s="6"/>
    </row>
    <row r="458" ht="12.75" customHeight="1">
      <c r="C458" s="1"/>
      <c r="D458" s="1"/>
      <c r="G458" s="4"/>
      <c r="I458" s="6"/>
    </row>
    <row r="459" ht="12.75" customHeight="1">
      <c r="C459" s="1"/>
      <c r="D459" s="1"/>
      <c r="G459" s="4"/>
      <c r="I459" s="6"/>
    </row>
    <row r="460" ht="12.75" customHeight="1">
      <c r="C460" s="1"/>
      <c r="D460" s="1"/>
      <c r="G460" s="4"/>
      <c r="I460" s="6"/>
    </row>
    <row r="461" ht="12.75" customHeight="1">
      <c r="C461" s="1"/>
      <c r="D461" s="1"/>
      <c r="G461" s="4"/>
      <c r="I461" s="6"/>
    </row>
    <row r="462" ht="12.75" customHeight="1">
      <c r="C462" s="1"/>
      <c r="D462" s="1"/>
      <c r="G462" s="4"/>
      <c r="I462" s="6"/>
    </row>
    <row r="463" ht="12.75" customHeight="1">
      <c r="C463" s="1"/>
      <c r="D463" s="1"/>
      <c r="G463" s="4"/>
      <c r="I463" s="6"/>
    </row>
    <row r="464" ht="12.75" customHeight="1">
      <c r="C464" s="1"/>
      <c r="D464" s="1"/>
      <c r="G464" s="4"/>
      <c r="I464" s="6"/>
    </row>
    <row r="465" ht="12.75" customHeight="1">
      <c r="C465" s="1"/>
      <c r="D465" s="1"/>
      <c r="G465" s="4"/>
      <c r="I465" s="6"/>
    </row>
    <row r="466" ht="12.75" customHeight="1">
      <c r="C466" s="1"/>
      <c r="D466" s="1"/>
      <c r="G466" s="4"/>
      <c r="I466" s="6"/>
    </row>
    <row r="467" ht="12.75" customHeight="1">
      <c r="C467" s="1"/>
      <c r="D467" s="1"/>
      <c r="G467" s="4"/>
      <c r="I467" s="6"/>
    </row>
    <row r="468" ht="12.75" customHeight="1">
      <c r="C468" s="1"/>
      <c r="D468" s="1"/>
      <c r="G468" s="4"/>
      <c r="I468" s="6"/>
    </row>
    <row r="469" ht="12.75" customHeight="1">
      <c r="C469" s="1"/>
      <c r="D469" s="1"/>
      <c r="G469" s="4"/>
      <c r="I469" s="6"/>
    </row>
    <row r="470" ht="12.75" customHeight="1">
      <c r="C470" s="1"/>
      <c r="D470" s="1"/>
      <c r="G470" s="4"/>
      <c r="I470" s="6"/>
    </row>
    <row r="471" ht="12.75" customHeight="1">
      <c r="C471" s="1"/>
      <c r="D471" s="1"/>
      <c r="G471" s="4"/>
      <c r="I471" s="6"/>
    </row>
    <row r="472" ht="12.75" customHeight="1">
      <c r="C472" s="1"/>
      <c r="D472" s="1"/>
      <c r="G472" s="4"/>
      <c r="I472" s="6"/>
    </row>
    <row r="473" ht="12.75" customHeight="1">
      <c r="C473" s="1"/>
      <c r="D473" s="1"/>
      <c r="G473" s="4"/>
      <c r="I473" s="6"/>
    </row>
    <row r="474" ht="12.75" customHeight="1">
      <c r="C474" s="1"/>
      <c r="D474" s="1"/>
      <c r="G474" s="4"/>
      <c r="I474" s="6"/>
    </row>
    <row r="475" ht="12.75" customHeight="1">
      <c r="C475" s="1"/>
      <c r="D475" s="1"/>
      <c r="G475" s="4"/>
      <c r="I475" s="6"/>
    </row>
    <row r="476" ht="12.75" customHeight="1">
      <c r="C476" s="1"/>
      <c r="D476" s="1"/>
      <c r="G476" s="4"/>
      <c r="I476" s="6"/>
    </row>
    <row r="477" ht="12.75" customHeight="1">
      <c r="C477" s="1"/>
      <c r="D477" s="1"/>
      <c r="G477" s="4"/>
      <c r="I477" s="6"/>
    </row>
    <row r="478" ht="12.75" customHeight="1">
      <c r="C478" s="1"/>
      <c r="D478" s="1"/>
      <c r="G478" s="4"/>
      <c r="I478" s="6"/>
    </row>
    <row r="479" ht="12.75" customHeight="1">
      <c r="C479" s="1"/>
      <c r="D479" s="1"/>
      <c r="G479" s="4"/>
      <c r="I479" s="6"/>
    </row>
    <row r="480" ht="12.75" customHeight="1">
      <c r="C480" s="1"/>
      <c r="D480" s="1"/>
      <c r="G480" s="4"/>
      <c r="I480" s="6"/>
    </row>
    <row r="481" ht="12.75" customHeight="1">
      <c r="C481" s="1"/>
      <c r="D481" s="1"/>
      <c r="G481" s="4"/>
      <c r="I481" s="6"/>
    </row>
    <row r="482" ht="12.75" customHeight="1">
      <c r="C482" s="1"/>
      <c r="D482" s="1"/>
      <c r="G482" s="4"/>
      <c r="I482" s="6"/>
    </row>
    <row r="483" ht="12.75" customHeight="1">
      <c r="C483" s="1"/>
      <c r="D483" s="1"/>
      <c r="G483" s="4"/>
      <c r="I483" s="6"/>
    </row>
    <row r="484" ht="12.75" customHeight="1">
      <c r="C484" s="1"/>
      <c r="D484" s="1"/>
      <c r="G484" s="4"/>
      <c r="I484" s="6"/>
    </row>
    <row r="485" ht="12.75" customHeight="1">
      <c r="C485" s="1"/>
      <c r="D485" s="1"/>
      <c r="G485" s="4"/>
      <c r="I485" s="6"/>
    </row>
    <row r="486" ht="12.75" customHeight="1">
      <c r="C486" s="1"/>
      <c r="D486" s="1"/>
      <c r="G486" s="4"/>
      <c r="I486" s="6"/>
    </row>
    <row r="487" ht="12.75" customHeight="1">
      <c r="C487" s="1"/>
      <c r="D487" s="1"/>
      <c r="G487" s="4"/>
      <c r="I487" s="6"/>
    </row>
    <row r="488" ht="12.75" customHeight="1">
      <c r="C488" s="1"/>
      <c r="D488" s="1"/>
      <c r="G488" s="4"/>
      <c r="I488" s="6"/>
    </row>
    <row r="489" ht="12.75" customHeight="1">
      <c r="C489" s="1"/>
      <c r="D489" s="1"/>
      <c r="G489" s="4"/>
      <c r="I489" s="6"/>
    </row>
    <row r="490" ht="12.75" customHeight="1">
      <c r="C490" s="1"/>
      <c r="D490" s="1"/>
      <c r="G490" s="4"/>
      <c r="I490" s="6"/>
    </row>
    <row r="491" ht="12.75" customHeight="1">
      <c r="C491" s="1"/>
      <c r="D491" s="1"/>
      <c r="G491" s="4"/>
      <c r="I491" s="6"/>
    </row>
    <row r="492" ht="12.75" customHeight="1">
      <c r="C492" s="1"/>
      <c r="D492" s="1"/>
      <c r="G492" s="4"/>
      <c r="I492" s="6"/>
    </row>
    <row r="493" ht="12.75" customHeight="1">
      <c r="C493" s="1"/>
      <c r="D493" s="1"/>
      <c r="G493" s="4"/>
      <c r="I493" s="6"/>
    </row>
    <row r="494" ht="12.75" customHeight="1">
      <c r="C494" s="1"/>
      <c r="D494" s="1"/>
      <c r="G494" s="4"/>
      <c r="I494" s="6"/>
    </row>
    <row r="495" ht="12.75" customHeight="1">
      <c r="C495" s="1"/>
      <c r="D495" s="1"/>
      <c r="G495" s="4"/>
      <c r="I495" s="6"/>
    </row>
    <row r="496" ht="12.75" customHeight="1">
      <c r="C496" s="1"/>
      <c r="D496" s="1"/>
      <c r="G496" s="4"/>
      <c r="I496" s="6"/>
    </row>
    <row r="497" ht="12.75" customHeight="1">
      <c r="C497" s="1"/>
      <c r="D497" s="1"/>
      <c r="G497" s="4"/>
      <c r="I497" s="6"/>
    </row>
    <row r="498" ht="12.75" customHeight="1">
      <c r="C498" s="1"/>
      <c r="D498" s="1"/>
      <c r="G498" s="4"/>
      <c r="I498" s="6"/>
    </row>
    <row r="499" ht="12.75" customHeight="1">
      <c r="C499" s="1"/>
      <c r="D499" s="1"/>
      <c r="G499" s="4"/>
      <c r="I499" s="6"/>
    </row>
    <row r="500" ht="12.75" customHeight="1">
      <c r="C500" s="1"/>
      <c r="D500" s="1"/>
      <c r="G500" s="4"/>
      <c r="I500" s="6"/>
    </row>
    <row r="501" ht="12.75" customHeight="1">
      <c r="C501" s="1"/>
      <c r="D501" s="1"/>
      <c r="G501" s="4"/>
      <c r="I501" s="6"/>
    </row>
    <row r="502" ht="12.75" customHeight="1">
      <c r="C502" s="1"/>
      <c r="D502" s="1"/>
      <c r="G502" s="4"/>
      <c r="I502" s="6"/>
    </row>
    <row r="503" ht="12.75" customHeight="1">
      <c r="C503" s="1"/>
      <c r="D503" s="1"/>
      <c r="G503" s="4"/>
      <c r="I503" s="6"/>
    </row>
    <row r="504" ht="12.75" customHeight="1">
      <c r="C504" s="1"/>
      <c r="D504" s="1"/>
      <c r="G504" s="4"/>
      <c r="I504" s="6"/>
    </row>
    <row r="505" ht="12.75" customHeight="1">
      <c r="C505" s="1"/>
      <c r="D505" s="1"/>
      <c r="G505" s="4"/>
      <c r="I505" s="6"/>
    </row>
    <row r="506" ht="12.75" customHeight="1">
      <c r="C506" s="1"/>
      <c r="D506" s="1"/>
      <c r="G506" s="4"/>
      <c r="I506" s="6"/>
    </row>
    <row r="507" ht="12.75" customHeight="1">
      <c r="C507" s="1"/>
      <c r="D507" s="1"/>
      <c r="G507" s="4"/>
      <c r="I507" s="6"/>
    </row>
    <row r="508" ht="12.75" customHeight="1">
      <c r="C508" s="1"/>
      <c r="D508" s="1"/>
      <c r="G508" s="4"/>
      <c r="I508" s="6"/>
    </row>
    <row r="509" ht="12.75" customHeight="1">
      <c r="C509" s="1"/>
      <c r="D509" s="1"/>
      <c r="G509" s="4"/>
      <c r="I509" s="6"/>
    </row>
    <row r="510" ht="12.75" customHeight="1">
      <c r="C510" s="1"/>
      <c r="D510" s="1"/>
      <c r="G510" s="4"/>
      <c r="I510" s="6"/>
    </row>
    <row r="511" ht="12.75" customHeight="1">
      <c r="C511" s="1"/>
      <c r="D511" s="1"/>
      <c r="G511" s="4"/>
      <c r="I511" s="6"/>
    </row>
    <row r="512" ht="12.75" customHeight="1">
      <c r="C512" s="1"/>
      <c r="D512" s="1"/>
      <c r="G512" s="4"/>
      <c r="I512" s="6"/>
    </row>
    <row r="513" ht="12.75" customHeight="1">
      <c r="C513" s="1"/>
      <c r="D513" s="1"/>
      <c r="G513" s="4"/>
      <c r="I513" s="6"/>
    </row>
    <row r="514" ht="12.75" customHeight="1">
      <c r="C514" s="1"/>
      <c r="D514" s="1"/>
      <c r="G514" s="4"/>
      <c r="I514" s="6"/>
    </row>
    <row r="515" ht="12.75" customHeight="1">
      <c r="C515" s="1"/>
      <c r="D515" s="1"/>
      <c r="G515" s="4"/>
      <c r="I515" s="6"/>
    </row>
    <row r="516" ht="12.75" customHeight="1">
      <c r="C516" s="1"/>
      <c r="D516" s="1"/>
      <c r="G516" s="4"/>
      <c r="I516" s="6"/>
    </row>
    <row r="517" ht="12.75" customHeight="1">
      <c r="C517" s="1"/>
      <c r="D517" s="1"/>
      <c r="G517" s="4"/>
      <c r="I517" s="6"/>
    </row>
    <row r="518" ht="12.75" customHeight="1">
      <c r="C518" s="1"/>
      <c r="D518" s="1"/>
      <c r="G518" s="4"/>
      <c r="I518" s="6"/>
    </row>
    <row r="519" ht="12.75" customHeight="1">
      <c r="C519" s="1"/>
      <c r="D519" s="1"/>
      <c r="G519" s="4"/>
      <c r="I519" s="6"/>
    </row>
    <row r="520" ht="12.75" customHeight="1">
      <c r="C520" s="1"/>
      <c r="D520" s="1"/>
      <c r="G520" s="4"/>
      <c r="I520" s="6"/>
    </row>
    <row r="521" ht="12.75" customHeight="1">
      <c r="C521" s="1"/>
      <c r="D521" s="1"/>
      <c r="G521" s="4"/>
      <c r="I521" s="6"/>
    </row>
    <row r="522" ht="12.75" customHeight="1">
      <c r="C522" s="1"/>
      <c r="D522" s="1"/>
      <c r="G522" s="4"/>
      <c r="I522" s="6"/>
    </row>
    <row r="523" ht="12.75" customHeight="1">
      <c r="C523" s="1"/>
      <c r="D523" s="1"/>
      <c r="G523" s="4"/>
      <c r="I523" s="6"/>
    </row>
    <row r="524" ht="12.75" customHeight="1">
      <c r="C524" s="1"/>
      <c r="D524" s="1"/>
      <c r="G524" s="4"/>
      <c r="I524" s="6"/>
    </row>
    <row r="525" ht="12.75" customHeight="1">
      <c r="C525" s="1"/>
      <c r="D525" s="1"/>
      <c r="G525" s="4"/>
      <c r="I525" s="6"/>
    </row>
    <row r="526" ht="12.75" customHeight="1">
      <c r="C526" s="1"/>
      <c r="D526" s="1"/>
      <c r="G526" s="4"/>
      <c r="I526" s="6"/>
    </row>
    <row r="527" ht="12.75" customHeight="1">
      <c r="C527" s="1"/>
      <c r="D527" s="1"/>
      <c r="G527" s="4"/>
      <c r="I527" s="6"/>
    </row>
    <row r="528" ht="12.75" customHeight="1">
      <c r="C528" s="1"/>
      <c r="D528" s="1"/>
      <c r="G528" s="4"/>
      <c r="I528" s="6"/>
    </row>
    <row r="529" ht="12.75" customHeight="1">
      <c r="C529" s="1"/>
      <c r="D529" s="1"/>
      <c r="G529" s="4"/>
      <c r="I529" s="6"/>
    </row>
    <row r="530" ht="12.75" customHeight="1">
      <c r="C530" s="1"/>
      <c r="D530" s="1"/>
      <c r="G530" s="4"/>
      <c r="I530" s="6"/>
    </row>
    <row r="531" ht="12.75" customHeight="1">
      <c r="C531" s="1"/>
      <c r="D531" s="1"/>
      <c r="G531" s="4"/>
      <c r="I531" s="6"/>
    </row>
    <row r="532" ht="12.75" customHeight="1">
      <c r="C532" s="1"/>
      <c r="D532" s="1"/>
      <c r="G532" s="4"/>
      <c r="I532" s="6"/>
    </row>
    <row r="533" ht="12.75" customHeight="1">
      <c r="C533" s="1"/>
      <c r="D533" s="1"/>
      <c r="G533" s="4"/>
      <c r="I533" s="6"/>
    </row>
    <row r="534" ht="12.75" customHeight="1">
      <c r="C534" s="1"/>
      <c r="D534" s="1"/>
      <c r="G534" s="4"/>
      <c r="I534" s="6"/>
    </row>
    <row r="535" ht="12.75" customHeight="1">
      <c r="C535" s="1"/>
      <c r="D535" s="1"/>
      <c r="G535" s="4"/>
      <c r="I535" s="6"/>
    </row>
    <row r="536" ht="12.75" customHeight="1">
      <c r="C536" s="1"/>
      <c r="D536" s="1"/>
      <c r="G536" s="4"/>
      <c r="I536" s="6"/>
    </row>
    <row r="537" ht="12.75" customHeight="1">
      <c r="C537" s="1"/>
      <c r="D537" s="1"/>
      <c r="G537" s="4"/>
      <c r="I537" s="6"/>
    </row>
    <row r="538" ht="12.75" customHeight="1">
      <c r="C538" s="1"/>
      <c r="D538" s="1"/>
      <c r="G538" s="4"/>
      <c r="I538" s="6"/>
    </row>
    <row r="539" ht="12.75" customHeight="1">
      <c r="C539" s="1"/>
      <c r="D539" s="1"/>
      <c r="G539" s="4"/>
      <c r="I539" s="6"/>
    </row>
    <row r="540" ht="12.75" customHeight="1">
      <c r="C540" s="1"/>
      <c r="D540" s="1"/>
      <c r="G540" s="4"/>
      <c r="I540" s="6"/>
    </row>
    <row r="541" ht="12.75" customHeight="1">
      <c r="C541" s="1"/>
      <c r="D541" s="1"/>
      <c r="G541" s="4"/>
      <c r="I541" s="6"/>
    </row>
    <row r="542" ht="12.75" customHeight="1">
      <c r="C542" s="1"/>
      <c r="D542" s="1"/>
      <c r="G542" s="4"/>
      <c r="I542" s="6"/>
    </row>
    <row r="543" ht="12.75" customHeight="1">
      <c r="C543" s="1"/>
      <c r="D543" s="1"/>
      <c r="G543" s="4"/>
      <c r="I543" s="6"/>
    </row>
    <row r="544" ht="12.75" customHeight="1">
      <c r="C544" s="1"/>
      <c r="D544" s="1"/>
      <c r="G544" s="4"/>
      <c r="I544" s="6"/>
    </row>
    <row r="545" ht="12.75" customHeight="1">
      <c r="C545" s="1"/>
      <c r="D545" s="1"/>
      <c r="G545" s="4"/>
      <c r="I545" s="6"/>
    </row>
    <row r="546" ht="12.75" customHeight="1">
      <c r="C546" s="1"/>
      <c r="D546" s="1"/>
      <c r="G546" s="4"/>
      <c r="I546" s="6"/>
    </row>
    <row r="547" ht="12.75" customHeight="1">
      <c r="C547" s="1"/>
      <c r="D547" s="1"/>
      <c r="G547" s="4"/>
      <c r="I547" s="6"/>
    </row>
    <row r="548" ht="12.75" customHeight="1">
      <c r="C548" s="1"/>
      <c r="D548" s="1"/>
      <c r="G548" s="4"/>
      <c r="I548" s="6"/>
    </row>
    <row r="549" ht="12.75" customHeight="1">
      <c r="C549" s="1"/>
      <c r="D549" s="1"/>
      <c r="G549" s="4"/>
      <c r="I549" s="6"/>
    </row>
    <row r="550" ht="12.75" customHeight="1">
      <c r="C550" s="1"/>
      <c r="D550" s="1"/>
      <c r="G550" s="4"/>
      <c r="I550" s="6"/>
    </row>
    <row r="551" ht="12.75" customHeight="1">
      <c r="C551" s="1"/>
      <c r="D551" s="1"/>
      <c r="G551" s="4"/>
      <c r="I551" s="6"/>
    </row>
    <row r="552" ht="12.75" customHeight="1">
      <c r="C552" s="1"/>
      <c r="D552" s="1"/>
      <c r="G552" s="4"/>
      <c r="I552" s="6"/>
    </row>
    <row r="553" ht="12.75" customHeight="1">
      <c r="C553" s="1"/>
      <c r="D553" s="1"/>
      <c r="G553" s="4"/>
      <c r="I553" s="6"/>
    </row>
    <row r="554" ht="12.75" customHeight="1">
      <c r="C554" s="1"/>
      <c r="D554" s="1"/>
      <c r="G554" s="4"/>
      <c r="I554" s="6"/>
    </row>
    <row r="555" ht="12.75" customHeight="1">
      <c r="C555" s="1"/>
      <c r="D555" s="1"/>
      <c r="G555" s="4"/>
      <c r="I555" s="6"/>
    </row>
    <row r="556" ht="12.75" customHeight="1">
      <c r="C556" s="1"/>
      <c r="D556" s="1"/>
      <c r="G556" s="4"/>
      <c r="I556" s="6"/>
    </row>
    <row r="557" ht="12.75" customHeight="1">
      <c r="C557" s="1"/>
      <c r="D557" s="1"/>
      <c r="G557" s="4"/>
      <c r="I557" s="6"/>
    </row>
    <row r="558" ht="12.75" customHeight="1">
      <c r="C558" s="1"/>
      <c r="D558" s="1"/>
      <c r="G558" s="4"/>
      <c r="I558" s="6"/>
    </row>
    <row r="559" ht="12.75" customHeight="1">
      <c r="C559" s="1"/>
      <c r="D559" s="1"/>
      <c r="G559" s="4"/>
      <c r="I559" s="6"/>
    </row>
    <row r="560" ht="12.75" customHeight="1">
      <c r="C560" s="1"/>
      <c r="D560" s="1"/>
      <c r="G560" s="4"/>
      <c r="I560" s="6"/>
    </row>
    <row r="561" ht="12.75" customHeight="1">
      <c r="C561" s="1"/>
      <c r="D561" s="1"/>
      <c r="G561" s="4"/>
      <c r="I561" s="6"/>
    </row>
    <row r="562" ht="12.75" customHeight="1">
      <c r="C562" s="1"/>
      <c r="D562" s="1"/>
      <c r="G562" s="4"/>
      <c r="I562" s="6"/>
    </row>
    <row r="563" ht="12.75" customHeight="1">
      <c r="C563" s="1"/>
      <c r="D563" s="1"/>
      <c r="G563" s="4"/>
      <c r="I563" s="6"/>
    </row>
    <row r="564" ht="12.75" customHeight="1">
      <c r="C564" s="1"/>
      <c r="D564" s="1"/>
      <c r="G564" s="4"/>
      <c r="I564" s="6"/>
    </row>
    <row r="565" ht="12.75" customHeight="1">
      <c r="C565" s="1"/>
      <c r="D565" s="1"/>
      <c r="G565" s="4"/>
      <c r="I565" s="6"/>
    </row>
    <row r="566" ht="12.75" customHeight="1">
      <c r="C566" s="1"/>
      <c r="D566" s="1"/>
      <c r="G566" s="4"/>
      <c r="I566" s="6"/>
    </row>
    <row r="567" ht="12.75" customHeight="1">
      <c r="C567" s="1"/>
      <c r="D567" s="1"/>
      <c r="G567" s="4"/>
      <c r="I567" s="6"/>
    </row>
    <row r="568" ht="12.75" customHeight="1">
      <c r="C568" s="1"/>
      <c r="D568" s="1"/>
      <c r="G568" s="4"/>
      <c r="I568" s="6"/>
    </row>
    <row r="569" ht="12.75" customHeight="1">
      <c r="C569" s="1"/>
      <c r="D569" s="1"/>
      <c r="G569" s="4"/>
      <c r="I569" s="6"/>
    </row>
    <row r="570" ht="12.75" customHeight="1">
      <c r="C570" s="1"/>
      <c r="D570" s="1"/>
      <c r="G570" s="4"/>
      <c r="I570" s="6"/>
    </row>
    <row r="571" ht="12.75" customHeight="1">
      <c r="C571" s="1"/>
      <c r="D571" s="1"/>
      <c r="G571" s="4"/>
      <c r="I571" s="6"/>
    </row>
    <row r="572" ht="12.75" customHeight="1">
      <c r="C572" s="1"/>
      <c r="D572" s="1"/>
      <c r="G572" s="4"/>
      <c r="I572" s="6"/>
    </row>
    <row r="573" ht="12.75" customHeight="1">
      <c r="C573" s="1"/>
      <c r="D573" s="1"/>
      <c r="G573" s="4"/>
      <c r="I573" s="6"/>
    </row>
    <row r="574" ht="12.75" customHeight="1">
      <c r="C574" s="1"/>
      <c r="D574" s="1"/>
      <c r="G574" s="4"/>
      <c r="I574" s="6"/>
    </row>
    <row r="575" ht="12.75" customHeight="1">
      <c r="C575" s="1"/>
      <c r="D575" s="1"/>
      <c r="G575" s="4"/>
      <c r="I575" s="6"/>
    </row>
    <row r="576" ht="12.75" customHeight="1">
      <c r="C576" s="1"/>
      <c r="D576" s="1"/>
      <c r="G576" s="4"/>
      <c r="I576" s="6"/>
    </row>
    <row r="577" ht="12.75" customHeight="1">
      <c r="C577" s="1"/>
      <c r="D577" s="1"/>
      <c r="G577" s="4"/>
      <c r="I577" s="6"/>
    </row>
    <row r="578" ht="12.75" customHeight="1">
      <c r="C578" s="1"/>
      <c r="D578" s="1"/>
      <c r="G578" s="4"/>
      <c r="I578" s="6"/>
    </row>
    <row r="579" ht="12.75" customHeight="1">
      <c r="C579" s="1"/>
      <c r="D579" s="1"/>
      <c r="G579" s="4"/>
      <c r="I579" s="6"/>
    </row>
    <row r="580" ht="12.75" customHeight="1">
      <c r="C580" s="1"/>
      <c r="D580" s="1"/>
      <c r="G580" s="4"/>
      <c r="I580" s="6"/>
    </row>
    <row r="581" ht="12.75" customHeight="1">
      <c r="C581" s="1"/>
      <c r="D581" s="1"/>
      <c r="G581" s="4"/>
      <c r="I581" s="6"/>
    </row>
    <row r="582" ht="12.75" customHeight="1">
      <c r="C582" s="1"/>
      <c r="D582" s="1"/>
      <c r="G582" s="4"/>
      <c r="I582" s="6"/>
    </row>
    <row r="583" ht="12.75" customHeight="1">
      <c r="C583" s="1"/>
      <c r="D583" s="1"/>
      <c r="G583" s="4"/>
      <c r="I583" s="6"/>
    </row>
    <row r="584" ht="12.75" customHeight="1">
      <c r="C584" s="1"/>
      <c r="D584" s="1"/>
      <c r="G584" s="4"/>
      <c r="I584" s="6"/>
    </row>
    <row r="585" ht="12.75" customHeight="1">
      <c r="C585" s="1"/>
      <c r="D585" s="1"/>
      <c r="G585" s="4"/>
      <c r="I585" s="6"/>
    </row>
    <row r="586" ht="12.75" customHeight="1">
      <c r="C586" s="1"/>
      <c r="D586" s="1"/>
      <c r="G586" s="4"/>
      <c r="I586" s="6"/>
    </row>
    <row r="587" ht="12.75" customHeight="1">
      <c r="C587" s="1"/>
      <c r="D587" s="1"/>
      <c r="G587" s="4"/>
      <c r="I587" s="6"/>
    </row>
    <row r="588" ht="12.75" customHeight="1">
      <c r="C588" s="1"/>
      <c r="D588" s="1"/>
      <c r="G588" s="4"/>
      <c r="I588" s="6"/>
    </row>
    <row r="589" ht="12.75" customHeight="1">
      <c r="C589" s="1"/>
      <c r="D589" s="1"/>
      <c r="G589" s="4"/>
      <c r="I589" s="6"/>
    </row>
    <row r="590" ht="12.75" customHeight="1">
      <c r="C590" s="1"/>
      <c r="D590" s="1"/>
      <c r="G590" s="4"/>
      <c r="I590" s="6"/>
    </row>
    <row r="591" ht="12.75" customHeight="1">
      <c r="C591" s="1"/>
      <c r="D591" s="1"/>
      <c r="G591" s="4"/>
      <c r="I591" s="6"/>
    </row>
    <row r="592" ht="12.75" customHeight="1">
      <c r="C592" s="1"/>
      <c r="D592" s="1"/>
      <c r="G592" s="4"/>
      <c r="I592" s="6"/>
    </row>
    <row r="593" ht="12.75" customHeight="1">
      <c r="C593" s="1"/>
      <c r="D593" s="1"/>
      <c r="G593" s="4"/>
      <c r="I593" s="6"/>
    </row>
    <row r="594" ht="12.75" customHeight="1">
      <c r="C594" s="1"/>
      <c r="D594" s="1"/>
      <c r="G594" s="4"/>
      <c r="I594" s="6"/>
    </row>
    <row r="595" ht="12.75" customHeight="1">
      <c r="C595" s="1"/>
      <c r="D595" s="1"/>
      <c r="G595" s="4"/>
      <c r="I595" s="6"/>
    </row>
    <row r="596" ht="12.75" customHeight="1">
      <c r="C596" s="1"/>
      <c r="D596" s="1"/>
      <c r="G596" s="4"/>
      <c r="I596" s="6"/>
    </row>
    <row r="597" ht="12.75" customHeight="1">
      <c r="C597" s="1"/>
      <c r="D597" s="1"/>
      <c r="G597" s="4"/>
      <c r="I597" s="6"/>
    </row>
    <row r="598" ht="12.75" customHeight="1">
      <c r="C598" s="1"/>
      <c r="D598" s="1"/>
      <c r="G598" s="4"/>
      <c r="I598" s="6"/>
    </row>
    <row r="599" ht="12.75" customHeight="1">
      <c r="C599" s="1"/>
      <c r="D599" s="1"/>
      <c r="G599" s="4"/>
      <c r="I599" s="6"/>
    </row>
    <row r="600" ht="12.75" customHeight="1">
      <c r="C600" s="1"/>
      <c r="D600" s="1"/>
      <c r="G600" s="4"/>
      <c r="I600" s="6"/>
    </row>
    <row r="601" ht="12.75" customHeight="1">
      <c r="C601" s="1"/>
      <c r="D601" s="1"/>
      <c r="G601" s="4"/>
      <c r="I601" s="6"/>
    </row>
    <row r="602" ht="12.75" customHeight="1">
      <c r="C602" s="1"/>
      <c r="D602" s="1"/>
      <c r="G602" s="4"/>
      <c r="I602" s="6"/>
    </row>
    <row r="603" ht="12.75" customHeight="1">
      <c r="C603" s="1"/>
      <c r="D603" s="1"/>
      <c r="G603" s="4"/>
      <c r="I603" s="6"/>
    </row>
    <row r="604" ht="12.75" customHeight="1">
      <c r="C604" s="1"/>
      <c r="D604" s="1"/>
      <c r="G604" s="4"/>
      <c r="I604" s="6"/>
    </row>
    <row r="605" ht="12.75" customHeight="1">
      <c r="C605" s="1"/>
      <c r="D605" s="1"/>
      <c r="G605" s="4"/>
      <c r="I605" s="6"/>
    </row>
    <row r="606" ht="12.75" customHeight="1">
      <c r="C606" s="1"/>
      <c r="D606" s="1"/>
      <c r="G606" s="4"/>
      <c r="I606" s="6"/>
    </row>
    <row r="607" ht="12.75" customHeight="1">
      <c r="C607" s="1"/>
      <c r="D607" s="1"/>
      <c r="G607" s="4"/>
      <c r="I607" s="6"/>
    </row>
    <row r="608" ht="12.75" customHeight="1">
      <c r="C608" s="1"/>
      <c r="D608" s="1"/>
      <c r="G608" s="4"/>
      <c r="I608" s="6"/>
    </row>
    <row r="609" ht="12.75" customHeight="1">
      <c r="C609" s="1"/>
      <c r="D609" s="1"/>
      <c r="G609" s="4"/>
      <c r="I609" s="6"/>
    </row>
    <row r="610" ht="12.75" customHeight="1">
      <c r="C610" s="1"/>
      <c r="D610" s="1"/>
      <c r="G610" s="4"/>
      <c r="I610" s="6"/>
    </row>
    <row r="611" ht="12.75" customHeight="1">
      <c r="C611" s="1"/>
      <c r="D611" s="1"/>
      <c r="G611" s="4"/>
      <c r="I611" s="6"/>
    </row>
    <row r="612" ht="12.75" customHeight="1">
      <c r="C612" s="1"/>
      <c r="D612" s="1"/>
      <c r="G612" s="4"/>
      <c r="I612" s="6"/>
    </row>
    <row r="613" ht="12.75" customHeight="1">
      <c r="C613" s="1"/>
      <c r="D613" s="1"/>
      <c r="G613" s="4"/>
      <c r="I613" s="6"/>
    </row>
    <row r="614" ht="12.75" customHeight="1">
      <c r="C614" s="1"/>
      <c r="D614" s="1"/>
      <c r="G614" s="4"/>
      <c r="I614" s="6"/>
    </row>
    <row r="615" ht="12.75" customHeight="1">
      <c r="C615" s="1"/>
      <c r="D615" s="1"/>
      <c r="G615" s="4"/>
      <c r="I615" s="6"/>
    </row>
    <row r="616" ht="12.75" customHeight="1">
      <c r="C616" s="1"/>
      <c r="D616" s="1"/>
      <c r="G616" s="4"/>
      <c r="I616" s="6"/>
    </row>
    <row r="617" ht="12.75" customHeight="1">
      <c r="C617" s="1"/>
      <c r="D617" s="1"/>
      <c r="G617" s="4"/>
      <c r="I617" s="6"/>
    </row>
    <row r="618" ht="12.75" customHeight="1">
      <c r="C618" s="1"/>
      <c r="D618" s="1"/>
      <c r="G618" s="4"/>
      <c r="I618" s="6"/>
    </row>
    <row r="619" ht="12.75" customHeight="1">
      <c r="C619" s="1"/>
      <c r="D619" s="1"/>
      <c r="G619" s="4"/>
      <c r="I619" s="6"/>
    </row>
    <row r="620" ht="12.75" customHeight="1">
      <c r="C620" s="1"/>
      <c r="D620" s="1"/>
      <c r="G620" s="4"/>
      <c r="I620" s="6"/>
    </row>
    <row r="621" ht="12.75" customHeight="1">
      <c r="C621" s="1"/>
      <c r="D621" s="1"/>
      <c r="G621" s="4"/>
      <c r="I621" s="6"/>
    </row>
    <row r="622" ht="12.75" customHeight="1">
      <c r="C622" s="1"/>
      <c r="D622" s="1"/>
      <c r="G622" s="4"/>
      <c r="I622" s="6"/>
    </row>
    <row r="623" ht="12.75" customHeight="1">
      <c r="C623" s="1"/>
      <c r="D623" s="1"/>
      <c r="G623" s="4"/>
      <c r="I623" s="6"/>
    </row>
    <row r="624" ht="12.75" customHeight="1">
      <c r="C624" s="1"/>
      <c r="D624" s="1"/>
      <c r="G624" s="4"/>
      <c r="I624" s="6"/>
    </row>
    <row r="625" ht="12.75" customHeight="1">
      <c r="C625" s="1"/>
      <c r="D625" s="1"/>
      <c r="G625" s="4"/>
      <c r="I625" s="6"/>
    </row>
    <row r="626" ht="12.75" customHeight="1">
      <c r="C626" s="1"/>
      <c r="D626" s="1"/>
      <c r="G626" s="4"/>
      <c r="I626" s="6"/>
    </row>
    <row r="627" ht="12.75" customHeight="1">
      <c r="C627" s="1"/>
      <c r="D627" s="1"/>
      <c r="G627" s="4"/>
      <c r="I627" s="6"/>
    </row>
    <row r="628" ht="12.75" customHeight="1">
      <c r="C628" s="1"/>
      <c r="D628" s="1"/>
      <c r="G628" s="4"/>
      <c r="I628" s="6"/>
    </row>
    <row r="629" ht="12.75" customHeight="1">
      <c r="C629" s="1"/>
      <c r="D629" s="1"/>
      <c r="G629" s="4"/>
      <c r="I629" s="6"/>
    </row>
    <row r="630" ht="12.75" customHeight="1">
      <c r="C630" s="1"/>
      <c r="D630" s="1"/>
      <c r="G630" s="4"/>
      <c r="I630" s="6"/>
    </row>
    <row r="631" ht="12.75" customHeight="1">
      <c r="C631" s="1"/>
      <c r="D631" s="1"/>
      <c r="G631" s="4"/>
      <c r="I631" s="6"/>
    </row>
    <row r="632" ht="12.75" customHeight="1">
      <c r="C632" s="1"/>
      <c r="D632" s="1"/>
      <c r="G632" s="4"/>
      <c r="I632" s="6"/>
    </row>
    <row r="633" ht="12.75" customHeight="1">
      <c r="C633" s="1"/>
      <c r="D633" s="1"/>
      <c r="G633" s="4"/>
      <c r="I633" s="6"/>
    </row>
    <row r="634" ht="12.75" customHeight="1">
      <c r="C634" s="1"/>
      <c r="D634" s="1"/>
      <c r="G634" s="4"/>
      <c r="I634" s="6"/>
    </row>
    <row r="635" ht="12.75" customHeight="1">
      <c r="C635" s="1"/>
      <c r="D635" s="1"/>
      <c r="G635" s="4"/>
      <c r="I635" s="6"/>
    </row>
    <row r="636" ht="12.75" customHeight="1">
      <c r="C636" s="1"/>
      <c r="D636" s="1"/>
      <c r="G636" s="4"/>
      <c r="I636" s="6"/>
    </row>
    <row r="637" ht="12.75" customHeight="1">
      <c r="C637" s="1"/>
      <c r="D637" s="1"/>
      <c r="G637" s="4"/>
      <c r="I637" s="6"/>
    </row>
    <row r="638" ht="12.75" customHeight="1">
      <c r="C638" s="1"/>
      <c r="D638" s="1"/>
      <c r="G638" s="4"/>
      <c r="I638" s="6"/>
    </row>
    <row r="639" ht="12.75" customHeight="1">
      <c r="C639" s="1"/>
      <c r="D639" s="1"/>
      <c r="G639" s="4"/>
      <c r="I639" s="6"/>
    </row>
    <row r="640" ht="12.75" customHeight="1">
      <c r="C640" s="1"/>
      <c r="D640" s="1"/>
      <c r="G640" s="4"/>
      <c r="I640" s="6"/>
    </row>
    <row r="641" ht="12.75" customHeight="1">
      <c r="C641" s="1"/>
      <c r="D641" s="1"/>
      <c r="G641" s="4"/>
      <c r="I641" s="6"/>
    </row>
    <row r="642" ht="12.75" customHeight="1">
      <c r="C642" s="1"/>
      <c r="D642" s="1"/>
      <c r="G642" s="4"/>
      <c r="I642" s="6"/>
    </row>
    <row r="643" ht="12.75" customHeight="1">
      <c r="C643" s="1"/>
      <c r="D643" s="1"/>
      <c r="G643" s="4"/>
      <c r="I643" s="6"/>
    </row>
    <row r="644" ht="12.75" customHeight="1">
      <c r="C644" s="1"/>
      <c r="D644" s="1"/>
      <c r="G644" s="4"/>
      <c r="I644" s="6"/>
    </row>
    <row r="645" ht="12.75" customHeight="1">
      <c r="C645" s="1"/>
      <c r="D645" s="1"/>
      <c r="G645" s="4"/>
      <c r="I645" s="6"/>
    </row>
    <row r="646" ht="12.75" customHeight="1">
      <c r="C646" s="1"/>
      <c r="D646" s="1"/>
      <c r="G646" s="4"/>
      <c r="I646" s="6"/>
    </row>
    <row r="647" ht="12.75" customHeight="1">
      <c r="C647" s="1"/>
      <c r="D647" s="1"/>
      <c r="G647" s="4"/>
      <c r="I647" s="6"/>
    </row>
    <row r="648" ht="12.75" customHeight="1">
      <c r="C648" s="1"/>
      <c r="D648" s="1"/>
      <c r="G648" s="4"/>
      <c r="I648" s="6"/>
    </row>
    <row r="649" ht="12.75" customHeight="1">
      <c r="C649" s="1"/>
      <c r="D649" s="1"/>
      <c r="G649" s="4"/>
      <c r="I649" s="6"/>
    </row>
    <row r="650" ht="12.75" customHeight="1">
      <c r="C650" s="1"/>
      <c r="D650" s="1"/>
      <c r="G650" s="4"/>
      <c r="I650" s="6"/>
    </row>
    <row r="651" ht="12.75" customHeight="1">
      <c r="C651" s="1"/>
      <c r="D651" s="1"/>
      <c r="G651" s="4"/>
      <c r="I651" s="6"/>
    </row>
    <row r="652" ht="12.75" customHeight="1">
      <c r="C652" s="1"/>
      <c r="D652" s="1"/>
      <c r="G652" s="4"/>
      <c r="I652" s="6"/>
    </row>
    <row r="653" ht="12.75" customHeight="1">
      <c r="C653" s="1"/>
      <c r="D653" s="1"/>
      <c r="G653" s="4"/>
      <c r="I653" s="6"/>
    </row>
    <row r="654" ht="12.75" customHeight="1">
      <c r="C654" s="1"/>
      <c r="D654" s="1"/>
      <c r="G654" s="4"/>
      <c r="I654" s="6"/>
    </row>
    <row r="655" ht="12.75" customHeight="1">
      <c r="C655" s="1"/>
      <c r="D655" s="1"/>
      <c r="G655" s="4"/>
      <c r="I655" s="6"/>
    </row>
    <row r="656" ht="12.75" customHeight="1">
      <c r="C656" s="1"/>
      <c r="D656" s="1"/>
      <c r="G656" s="4"/>
      <c r="I656" s="6"/>
    </row>
    <row r="657" ht="12.75" customHeight="1">
      <c r="C657" s="1"/>
      <c r="D657" s="1"/>
      <c r="G657" s="4"/>
      <c r="I657" s="6"/>
    </row>
    <row r="658" ht="12.75" customHeight="1">
      <c r="C658" s="1"/>
      <c r="D658" s="1"/>
      <c r="G658" s="4"/>
      <c r="I658" s="6"/>
    </row>
    <row r="659" ht="12.75" customHeight="1">
      <c r="C659" s="1"/>
      <c r="D659" s="1"/>
      <c r="G659" s="4"/>
      <c r="I659" s="6"/>
    </row>
    <row r="660" ht="12.75" customHeight="1">
      <c r="C660" s="1"/>
      <c r="D660" s="1"/>
      <c r="G660" s="4"/>
      <c r="I660" s="6"/>
    </row>
    <row r="661" ht="12.75" customHeight="1">
      <c r="C661" s="1"/>
      <c r="D661" s="1"/>
      <c r="G661" s="4"/>
      <c r="I661" s="6"/>
    </row>
    <row r="662" ht="12.75" customHeight="1">
      <c r="C662" s="1"/>
      <c r="D662" s="1"/>
      <c r="G662" s="4"/>
      <c r="I662" s="6"/>
    </row>
    <row r="663" ht="12.75" customHeight="1">
      <c r="C663" s="1"/>
      <c r="D663" s="1"/>
      <c r="G663" s="4"/>
      <c r="I663" s="6"/>
    </row>
    <row r="664" ht="12.75" customHeight="1">
      <c r="C664" s="1"/>
      <c r="D664" s="1"/>
      <c r="G664" s="4"/>
      <c r="I664" s="6"/>
    </row>
    <row r="665" ht="12.75" customHeight="1">
      <c r="C665" s="1"/>
      <c r="D665" s="1"/>
      <c r="G665" s="4"/>
      <c r="I665" s="6"/>
    </row>
    <row r="666" ht="12.75" customHeight="1">
      <c r="C666" s="1"/>
      <c r="D666" s="1"/>
      <c r="G666" s="4"/>
      <c r="I666" s="6"/>
    </row>
    <row r="667" ht="12.75" customHeight="1">
      <c r="C667" s="1"/>
      <c r="D667" s="1"/>
      <c r="G667" s="4"/>
      <c r="I667" s="6"/>
    </row>
    <row r="668" ht="12.75" customHeight="1">
      <c r="C668" s="1"/>
      <c r="D668" s="1"/>
      <c r="G668" s="4"/>
      <c r="I668" s="6"/>
    </row>
    <row r="669" ht="12.75" customHeight="1">
      <c r="C669" s="1"/>
      <c r="D669" s="1"/>
      <c r="G669" s="4"/>
      <c r="I669" s="6"/>
    </row>
    <row r="670" ht="12.75" customHeight="1">
      <c r="C670" s="1"/>
      <c r="D670" s="1"/>
      <c r="G670" s="4"/>
      <c r="I670" s="6"/>
    </row>
    <row r="671" ht="12.75" customHeight="1">
      <c r="C671" s="1"/>
      <c r="D671" s="1"/>
      <c r="G671" s="4"/>
      <c r="I671" s="6"/>
    </row>
    <row r="672" ht="12.75" customHeight="1">
      <c r="C672" s="1"/>
      <c r="D672" s="1"/>
      <c r="G672" s="4"/>
      <c r="I672" s="6"/>
    </row>
    <row r="673" ht="12.75" customHeight="1">
      <c r="C673" s="1"/>
      <c r="D673" s="1"/>
      <c r="G673" s="4"/>
      <c r="I673" s="6"/>
    </row>
    <row r="674" ht="12.75" customHeight="1">
      <c r="C674" s="1"/>
      <c r="D674" s="1"/>
      <c r="G674" s="4"/>
      <c r="I674" s="6"/>
    </row>
    <row r="675" ht="12.75" customHeight="1">
      <c r="C675" s="1"/>
      <c r="D675" s="1"/>
      <c r="G675" s="4"/>
      <c r="I675" s="6"/>
    </row>
    <row r="676" ht="12.75" customHeight="1">
      <c r="C676" s="1"/>
      <c r="D676" s="1"/>
      <c r="G676" s="4"/>
      <c r="I676" s="6"/>
    </row>
    <row r="677" ht="12.75" customHeight="1">
      <c r="C677" s="1"/>
      <c r="D677" s="1"/>
      <c r="G677" s="4"/>
      <c r="I677" s="6"/>
    </row>
    <row r="678" ht="12.75" customHeight="1">
      <c r="C678" s="1"/>
      <c r="D678" s="1"/>
      <c r="G678" s="4"/>
      <c r="I678" s="6"/>
    </row>
    <row r="679" ht="12.75" customHeight="1">
      <c r="C679" s="1"/>
      <c r="D679" s="1"/>
      <c r="G679" s="4"/>
      <c r="I679" s="6"/>
    </row>
    <row r="680" ht="12.75" customHeight="1">
      <c r="C680" s="1"/>
      <c r="D680" s="1"/>
      <c r="G680" s="4"/>
      <c r="I680" s="6"/>
    </row>
    <row r="681" ht="12.75" customHeight="1">
      <c r="C681" s="1"/>
      <c r="D681" s="1"/>
      <c r="G681" s="4"/>
      <c r="I681" s="6"/>
    </row>
    <row r="682" ht="12.75" customHeight="1">
      <c r="C682" s="1"/>
      <c r="D682" s="1"/>
      <c r="G682" s="4"/>
      <c r="I682" s="6"/>
    </row>
    <row r="683" ht="12.75" customHeight="1">
      <c r="C683" s="1"/>
      <c r="D683" s="1"/>
      <c r="G683" s="4"/>
      <c r="I683" s="6"/>
    </row>
    <row r="684" ht="12.75" customHeight="1">
      <c r="C684" s="1"/>
      <c r="D684" s="1"/>
      <c r="G684" s="4"/>
      <c r="I684" s="6"/>
    </row>
    <row r="685" ht="12.75" customHeight="1">
      <c r="C685" s="1"/>
      <c r="D685" s="1"/>
      <c r="G685" s="4"/>
      <c r="I685" s="6"/>
    </row>
    <row r="686" ht="12.75" customHeight="1">
      <c r="C686" s="1"/>
      <c r="D686" s="1"/>
      <c r="G686" s="4"/>
      <c r="I686" s="6"/>
    </row>
    <row r="687" ht="12.75" customHeight="1">
      <c r="C687" s="1"/>
      <c r="D687" s="1"/>
      <c r="G687" s="4"/>
      <c r="I687" s="6"/>
    </row>
    <row r="688" ht="12.75" customHeight="1">
      <c r="C688" s="1"/>
      <c r="D688" s="1"/>
      <c r="G688" s="4"/>
      <c r="I688" s="6"/>
    </row>
    <row r="689" ht="12.75" customHeight="1">
      <c r="C689" s="1"/>
      <c r="D689" s="1"/>
      <c r="G689" s="4"/>
      <c r="I689" s="6"/>
    </row>
    <row r="690" ht="12.75" customHeight="1">
      <c r="C690" s="1"/>
      <c r="D690" s="1"/>
      <c r="G690" s="4"/>
      <c r="I690" s="6"/>
    </row>
    <row r="691" ht="12.75" customHeight="1">
      <c r="C691" s="1"/>
      <c r="D691" s="1"/>
      <c r="G691" s="4"/>
      <c r="I691" s="6"/>
    </row>
    <row r="692" ht="12.75" customHeight="1">
      <c r="C692" s="1"/>
      <c r="D692" s="1"/>
      <c r="G692" s="4"/>
      <c r="I692" s="6"/>
    </row>
    <row r="693" ht="12.75" customHeight="1">
      <c r="C693" s="1"/>
      <c r="D693" s="1"/>
      <c r="G693" s="4"/>
      <c r="I693" s="6"/>
    </row>
    <row r="694" ht="12.75" customHeight="1">
      <c r="C694" s="1"/>
      <c r="D694" s="1"/>
      <c r="G694" s="4"/>
      <c r="I694" s="6"/>
    </row>
    <row r="695" ht="12.75" customHeight="1">
      <c r="C695" s="1"/>
      <c r="D695" s="1"/>
      <c r="G695" s="4"/>
      <c r="I695" s="6"/>
    </row>
    <row r="696" ht="12.75" customHeight="1">
      <c r="C696" s="1"/>
      <c r="D696" s="1"/>
      <c r="G696" s="4"/>
      <c r="I696" s="6"/>
    </row>
    <row r="697" ht="12.75" customHeight="1">
      <c r="C697" s="1"/>
      <c r="D697" s="1"/>
      <c r="G697" s="4"/>
      <c r="I697" s="6"/>
    </row>
    <row r="698" ht="12.75" customHeight="1">
      <c r="C698" s="1"/>
      <c r="D698" s="1"/>
      <c r="G698" s="4"/>
      <c r="I698" s="6"/>
    </row>
    <row r="699" ht="12.75" customHeight="1">
      <c r="C699" s="1"/>
      <c r="D699" s="1"/>
      <c r="G699" s="4"/>
      <c r="I699" s="6"/>
    </row>
    <row r="700" ht="12.75" customHeight="1">
      <c r="C700" s="1"/>
      <c r="D700" s="1"/>
      <c r="G700" s="4"/>
      <c r="I700" s="6"/>
    </row>
    <row r="701" ht="12.75" customHeight="1">
      <c r="C701" s="1"/>
      <c r="D701" s="1"/>
      <c r="G701" s="4"/>
      <c r="I701" s="6"/>
    </row>
    <row r="702" ht="12.75" customHeight="1">
      <c r="C702" s="1"/>
      <c r="D702" s="1"/>
      <c r="G702" s="4"/>
      <c r="I702" s="6"/>
    </row>
    <row r="703" ht="12.75" customHeight="1">
      <c r="C703" s="1"/>
      <c r="D703" s="1"/>
      <c r="G703" s="4"/>
      <c r="I703" s="6"/>
    </row>
    <row r="704" ht="12.75" customHeight="1">
      <c r="C704" s="1"/>
      <c r="D704" s="1"/>
      <c r="G704" s="4"/>
      <c r="I704" s="6"/>
    </row>
    <row r="705" ht="12.75" customHeight="1">
      <c r="C705" s="1"/>
      <c r="D705" s="1"/>
      <c r="G705" s="4"/>
      <c r="I705" s="6"/>
    </row>
    <row r="706" ht="12.75" customHeight="1">
      <c r="C706" s="1"/>
      <c r="D706" s="1"/>
      <c r="G706" s="4"/>
      <c r="I706" s="6"/>
    </row>
    <row r="707" ht="12.75" customHeight="1">
      <c r="C707" s="1"/>
      <c r="D707" s="1"/>
      <c r="G707" s="4"/>
      <c r="I707" s="6"/>
    </row>
    <row r="708" ht="12.75" customHeight="1">
      <c r="C708" s="1"/>
      <c r="D708" s="1"/>
      <c r="G708" s="4"/>
      <c r="I708" s="6"/>
    </row>
    <row r="709" ht="12.75" customHeight="1">
      <c r="C709" s="1"/>
      <c r="D709" s="1"/>
      <c r="G709" s="4"/>
      <c r="I709" s="6"/>
    </row>
    <row r="710" ht="12.75" customHeight="1">
      <c r="C710" s="1"/>
      <c r="D710" s="1"/>
      <c r="G710" s="4"/>
      <c r="I710" s="6"/>
    </row>
    <row r="711" ht="12.75" customHeight="1">
      <c r="C711" s="1"/>
      <c r="D711" s="1"/>
      <c r="G711" s="4"/>
      <c r="I711" s="6"/>
    </row>
    <row r="712" ht="12.75" customHeight="1">
      <c r="C712" s="1"/>
      <c r="D712" s="1"/>
      <c r="G712" s="4"/>
      <c r="I712" s="6"/>
    </row>
    <row r="713" ht="12.75" customHeight="1">
      <c r="C713" s="1"/>
      <c r="D713" s="1"/>
      <c r="G713" s="4"/>
      <c r="I713" s="6"/>
    </row>
    <row r="714" ht="12.75" customHeight="1">
      <c r="C714" s="1"/>
      <c r="D714" s="1"/>
      <c r="G714" s="4"/>
      <c r="I714" s="6"/>
    </row>
    <row r="715" ht="12.75" customHeight="1">
      <c r="C715" s="1"/>
      <c r="D715" s="1"/>
      <c r="G715" s="4"/>
      <c r="I715" s="6"/>
    </row>
    <row r="716" ht="12.75" customHeight="1">
      <c r="C716" s="1"/>
      <c r="D716" s="1"/>
      <c r="G716" s="4"/>
      <c r="I716" s="6"/>
    </row>
    <row r="717" ht="12.75" customHeight="1">
      <c r="C717" s="1"/>
      <c r="D717" s="1"/>
      <c r="G717" s="4"/>
      <c r="I717" s="6"/>
    </row>
    <row r="718" ht="12.75" customHeight="1">
      <c r="C718" s="1"/>
      <c r="D718" s="1"/>
      <c r="G718" s="4"/>
      <c r="I718" s="6"/>
    </row>
    <row r="719" ht="12.75" customHeight="1">
      <c r="C719" s="1"/>
      <c r="D719" s="1"/>
      <c r="G719" s="4"/>
      <c r="I719" s="6"/>
    </row>
    <row r="720" ht="12.75" customHeight="1">
      <c r="C720" s="1"/>
      <c r="D720" s="1"/>
      <c r="G720" s="4"/>
      <c r="I720" s="6"/>
    </row>
    <row r="721" ht="12.75" customHeight="1">
      <c r="C721" s="1"/>
      <c r="D721" s="1"/>
      <c r="G721" s="4"/>
      <c r="I721" s="6"/>
    </row>
    <row r="722" ht="12.75" customHeight="1">
      <c r="C722" s="1"/>
      <c r="D722" s="1"/>
      <c r="G722" s="4"/>
      <c r="I722" s="6"/>
    </row>
    <row r="723" ht="12.75" customHeight="1">
      <c r="C723" s="1"/>
      <c r="D723" s="1"/>
      <c r="G723" s="4"/>
      <c r="I723" s="6"/>
    </row>
    <row r="724" ht="12.75" customHeight="1">
      <c r="C724" s="1"/>
      <c r="D724" s="1"/>
      <c r="G724" s="4"/>
      <c r="I724" s="6"/>
    </row>
    <row r="725" ht="12.75" customHeight="1">
      <c r="C725" s="1"/>
      <c r="D725" s="1"/>
      <c r="G725" s="4"/>
      <c r="I725" s="6"/>
    </row>
    <row r="726" ht="12.75" customHeight="1">
      <c r="C726" s="1"/>
      <c r="D726" s="1"/>
      <c r="G726" s="4"/>
      <c r="I726" s="6"/>
    </row>
    <row r="727" ht="12.75" customHeight="1">
      <c r="C727" s="1"/>
      <c r="D727" s="1"/>
      <c r="G727" s="4"/>
      <c r="I727" s="6"/>
    </row>
    <row r="728" ht="12.75" customHeight="1">
      <c r="C728" s="1"/>
      <c r="D728" s="1"/>
      <c r="G728" s="4"/>
      <c r="I728" s="6"/>
    </row>
    <row r="729" ht="12.75" customHeight="1">
      <c r="C729" s="1"/>
      <c r="D729" s="1"/>
      <c r="G729" s="4"/>
      <c r="I729" s="6"/>
    </row>
    <row r="730" ht="12.75" customHeight="1">
      <c r="C730" s="1"/>
      <c r="D730" s="1"/>
      <c r="G730" s="4"/>
      <c r="I730" s="6"/>
    </row>
    <row r="731" ht="12.75" customHeight="1">
      <c r="C731" s="1"/>
      <c r="D731" s="1"/>
      <c r="G731" s="4"/>
      <c r="I731" s="6"/>
    </row>
    <row r="732" ht="12.75" customHeight="1">
      <c r="C732" s="1"/>
      <c r="D732" s="1"/>
      <c r="G732" s="4"/>
      <c r="I732" s="6"/>
    </row>
    <row r="733" ht="12.75" customHeight="1">
      <c r="C733" s="1"/>
      <c r="D733" s="1"/>
      <c r="G733" s="4"/>
      <c r="I733" s="6"/>
    </row>
    <row r="734" ht="12.75" customHeight="1">
      <c r="C734" s="1"/>
      <c r="D734" s="1"/>
      <c r="G734" s="4"/>
      <c r="I734" s="6"/>
    </row>
    <row r="735" ht="12.75" customHeight="1">
      <c r="C735" s="1"/>
      <c r="D735" s="1"/>
      <c r="G735" s="4"/>
      <c r="I735" s="6"/>
    </row>
    <row r="736" ht="12.75" customHeight="1">
      <c r="C736" s="1"/>
      <c r="D736" s="1"/>
      <c r="G736" s="4"/>
      <c r="I736" s="6"/>
    </row>
    <row r="737" ht="12.75" customHeight="1">
      <c r="C737" s="1"/>
      <c r="D737" s="1"/>
      <c r="G737" s="4"/>
      <c r="I737" s="6"/>
    </row>
    <row r="738" ht="12.75" customHeight="1">
      <c r="C738" s="1"/>
      <c r="D738" s="1"/>
      <c r="G738" s="4"/>
      <c r="I738" s="6"/>
    </row>
    <row r="739" ht="12.75" customHeight="1">
      <c r="C739" s="1"/>
      <c r="D739" s="1"/>
      <c r="G739" s="4"/>
      <c r="I739" s="6"/>
    </row>
    <row r="740" ht="12.75" customHeight="1">
      <c r="C740" s="1"/>
      <c r="D740" s="1"/>
      <c r="G740" s="4"/>
      <c r="I740" s="6"/>
    </row>
    <row r="741" ht="12.75" customHeight="1">
      <c r="C741" s="1"/>
      <c r="D741" s="1"/>
      <c r="G741" s="4"/>
      <c r="I741" s="6"/>
    </row>
    <row r="742" ht="12.75" customHeight="1">
      <c r="C742" s="1"/>
      <c r="D742" s="1"/>
      <c r="G742" s="4"/>
      <c r="I742" s="6"/>
    </row>
    <row r="743" ht="12.75" customHeight="1">
      <c r="C743" s="1"/>
      <c r="D743" s="1"/>
      <c r="G743" s="4"/>
      <c r="I743" s="6"/>
    </row>
    <row r="744" ht="12.75" customHeight="1">
      <c r="C744" s="1"/>
      <c r="D744" s="1"/>
      <c r="G744" s="4"/>
      <c r="I744" s="6"/>
    </row>
    <row r="745" ht="12.75" customHeight="1">
      <c r="C745" s="1"/>
      <c r="D745" s="1"/>
      <c r="G745" s="4"/>
      <c r="I745" s="6"/>
    </row>
    <row r="746" ht="12.75" customHeight="1">
      <c r="C746" s="1"/>
      <c r="D746" s="1"/>
      <c r="G746" s="4"/>
      <c r="I746" s="6"/>
    </row>
    <row r="747" ht="12.75" customHeight="1">
      <c r="C747" s="1"/>
      <c r="D747" s="1"/>
      <c r="G747" s="4"/>
      <c r="I747" s="6"/>
    </row>
    <row r="748" ht="12.75" customHeight="1">
      <c r="C748" s="1"/>
      <c r="D748" s="1"/>
      <c r="G748" s="4"/>
      <c r="I748" s="6"/>
    </row>
    <row r="749" ht="12.75" customHeight="1">
      <c r="C749" s="1"/>
      <c r="D749" s="1"/>
      <c r="G749" s="4"/>
      <c r="I749" s="6"/>
    </row>
    <row r="750" ht="12.75" customHeight="1">
      <c r="C750" s="1"/>
      <c r="D750" s="1"/>
      <c r="G750" s="4"/>
      <c r="I750" s="6"/>
    </row>
    <row r="751" ht="12.75" customHeight="1">
      <c r="C751" s="1"/>
      <c r="D751" s="1"/>
      <c r="G751" s="4"/>
      <c r="I751" s="6"/>
    </row>
    <row r="752" ht="12.75" customHeight="1">
      <c r="C752" s="1"/>
      <c r="D752" s="1"/>
      <c r="G752" s="4"/>
      <c r="I752" s="6"/>
    </row>
    <row r="753" ht="12.75" customHeight="1">
      <c r="C753" s="1"/>
      <c r="D753" s="1"/>
      <c r="G753" s="4"/>
      <c r="I753" s="6"/>
    </row>
    <row r="754" ht="12.75" customHeight="1">
      <c r="C754" s="1"/>
      <c r="D754" s="1"/>
      <c r="G754" s="4"/>
      <c r="I754" s="6"/>
    </row>
    <row r="755" ht="12.75" customHeight="1">
      <c r="C755" s="1"/>
      <c r="D755" s="1"/>
      <c r="G755" s="4"/>
      <c r="I755" s="6"/>
    </row>
    <row r="756" ht="12.75" customHeight="1">
      <c r="C756" s="1"/>
      <c r="D756" s="1"/>
      <c r="G756" s="4"/>
      <c r="I756" s="6"/>
    </row>
    <row r="757" ht="12.75" customHeight="1">
      <c r="C757" s="1"/>
      <c r="D757" s="1"/>
      <c r="G757" s="4"/>
      <c r="I757" s="6"/>
    </row>
    <row r="758" ht="12.75" customHeight="1">
      <c r="C758" s="1"/>
      <c r="D758" s="1"/>
      <c r="G758" s="4"/>
      <c r="I758" s="6"/>
    </row>
    <row r="759" ht="12.75" customHeight="1">
      <c r="C759" s="1"/>
      <c r="D759" s="1"/>
      <c r="G759" s="4"/>
      <c r="I759" s="6"/>
    </row>
    <row r="760" ht="12.75" customHeight="1">
      <c r="C760" s="1"/>
      <c r="D760" s="1"/>
      <c r="G760" s="4"/>
      <c r="I760" s="6"/>
    </row>
    <row r="761" ht="12.75" customHeight="1">
      <c r="C761" s="1"/>
      <c r="D761" s="1"/>
      <c r="G761" s="4"/>
      <c r="I761" s="6"/>
    </row>
    <row r="762" ht="12.75" customHeight="1">
      <c r="C762" s="1"/>
      <c r="D762" s="1"/>
      <c r="G762" s="4"/>
      <c r="I762" s="6"/>
    </row>
    <row r="763" ht="12.75" customHeight="1">
      <c r="C763" s="1"/>
      <c r="D763" s="1"/>
      <c r="G763" s="4"/>
      <c r="I763" s="6"/>
    </row>
    <row r="764" ht="12.75" customHeight="1">
      <c r="C764" s="1"/>
      <c r="D764" s="1"/>
      <c r="G764" s="4"/>
      <c r="I764" s="6"/>
    </row>
    <row r="765" ht="12.75" customHeight="1">
      <c r="C765" s="1"/>
      <c r="D765" s="1"/>
      <c r="G765" s="4"/>
      <c r="I765" s="6"/>
    </row>
    <row r="766" ht="12.75" customHeight="1">
      <c r="C766" s="1"/>
      <c r="D766" s="1"/>
      <c r="G766" s="4"/>
      <c r="I766" s="6"/>
    </row>
    <row r="767" ht="12.75" customHeight="1">
      <c r="C767" s="1"/>
      <c r="D767" s="1"/>
      <c r="G767" s="4"/>
      <c r="I767" s="6"/>
    </row>
    <row r="768" ht="12.75" customHeight="1">
      <c r="C768" s="1"/>
      <c r="D768" s="1"/>
      <c r="G768" s="4"/>
      <c r="I768" s="6"/>
    </row>
    <row r="769" ht="12.75" customHeight="1">
      <c r="C769" s="1"/>
      <c r="D769" s="1"/>
      <c r="G769" s="4"/>
      <c r="I769" s="6"/>
    </row>
    <row r="770" ht="12.75" customHeight="1">
      <c r="C770" s="1"/>
      <c r="D770" s="1"/>
      <c r="G770" s="4"/>
      <c r="I770" s="6"/>
    </row>
    <row r="771" ht="12.75" customHeight="1">
      <c r="C771" s="1"/>
      <c r="D771" s="1"/>
      <c r="G771" s="4"/>
      <c r="I771" s="6"/>
    </row>
    <row r="772" ht="12.75" customHeight="1">
      <c r="C772" s="1"/>
      <c r="D772" s="1"/>
      <c r="G772" s="4"/>
      <c r="I772" s="6"/>
    </row>
    <row r="773" ht="12.75" customHeight="1">
      <c r="C773" s="1"/>
      <c r="D773" s="1"/>
      <c r="G773" s="4"/>
      <c r="I773" s="6"/>
    </row>
    <row r="774" ht="12.75" customHeight="1">
      <c r="C774" s="1"/>
      <c r="D774" s="1"/>
      <c r="G774" s="4"/>
      <c r="I774" s="6"/>
    </row>
    <row r="775" ht="12.75" customHeight="1">
      <c r="C775" s="1"/>
      <c r="D775" s="1"/>
      <c r="G775" s="4"/>
      <c r="I775" s="6"/>
    </row>
    <row r="776" ht="12.75" customHeight="1">
      <c r="C776" s="1"/>
      <c r="D776" s="1"/>
      <c r="G776" s="4"/>
      <c r="I776" s="6"/>
    </row>
    <row r="777" ht="12.75" customHeight="1">
      <c r="C777" s="1"/>
      <c r="D777" s="1"/>
      <c r="G777" s="4"/>
      <c r="I777" s="6"/>
    </row>
    <row r="778" ht="12.75" customHeight="1">
      <c r="C778" s="1"/>
      <c r="D778" s="1"/>
      <c r="G778" s="4"/>
      <c r="I778" s="6"/>
    </row>
    <row r="779" ht="12.75" customHeight="1">
      <c r="C779" s="1"/>
      <c r="D779" s="1"/>
      <c r="G779" s="4"/>
      <c r="I779" s="6"/>
    </row>
    <row r="780" ht="12.75" customHeight="1">
      <c r="C780" s="1"/>
      <c r="D780" s="1"/>
      <c r="G780" s="4"/>
      <c r="I780" s="6"/>
    </row>
    <row r="781" ht="12.75" customHeight="1">
      <c r="C781" s="1"/>
      <c r="D781" s="1"/>
      <c r="G781" s="4"/>
      <c r="I781" s="6"/>
    </row>
    <row r="782" ht="12.75" customHeight="1">
      <c r="C782" s="1"/>
      <c r="D782" s="1"/>
      <c r="G782" s="4"/>
      <c r="I782" s="6"/>
    </row>
    <row r="783" ht="12.75" customHeight="1">
      <c r="C783" s="1"/>
      <c r="D783" s="1"/>
      <c r="G783" s="4"/>
      <c r="I783" s="6"/>
    </row>
    <row r="784" ht="12.75" customHeight="1">
      <c r="C784" s="1"/>
      <c r="D784" s="1"/>
      <c r="G784" s="4"/>
      <c r="I784" s="6"/>
    </row>
    <row r="785" ht="12.75" customHeight="1">
      <c r="C785" s="1"/>
      <c r="D785" s="1"/>
      <c r="G785" s="4"/>
      <c r="I785" s="6"/>
    </row>
    <row r="786" ht="12.75" customHeight="1">
      <c r="C786" s="1"/>
      <c r="D786" s="1"/>
      <c r="G786" s="4"/>
      <c r="I786" s="6"/>
    </row>
    <row r="787" ht="12.75" customHeight="1">
      <c r="C787" s="1"/>
      <c r="D787" s="1"/>
      <c r="G787" s="4"/>
      <c r="I787" s="6"/>
    </row>
    <row r="788" ht="12.75" customHeight="1">
      <c r="C788" s="1"/>
      <c r="D788" s="1"/>
      <c r="G788" s="4"/>
      <c r="I788" s="6"/>
    </row>
    <row r="789" ht="12.75" customHeight="1">
      <c r="C789" s="1"/>
      <c r="D789" s="1"/>
      <c r="G789" s="4"/>
      <c r="I789" s="6"/>
    </row>
    <row r="790" ht="12.75" customHeight="1">
      <c r="C790" s="1"/>
      <c r="D790" s="1"/>
      <c r="G790" s="4"/>
      <c r="I790" s="6"/>
    </row>
    <row r="791" ht="12.75" customHeight="1">
      <c r="C791" s="1"/>
      <c r="D791" s="1"/>
      <c r="G791" s="4"/>
      <c r="I791" s="6"/>
    </row>
    <row r="792" ht="12.75" customHeight="1">
      <c r="C792" s="1"/>
      <c r="D792" s="1"/>
      <c r="G792" s="4"/>
      <c r="I792" s="6"/>
    </row>
    <row r="793" ht="12.75" customHeight="1">
      <c r="C793" s="1"/>
      <c r="D793" s="1"/>
      <c r="G793" s="4"/>
      <c r="I793" s="6"/>
    </row>
    <row r="794" ht="12.75" customHeight="1">
      <c r="C794" s="1"/>
      <c r="D794" s="1"/>
      <c r="G794" s="4"/>
      <c r="I794" s="6"/>
    </row>
    <row r="795" ht="12.75" customHeight="1">
      <c r="C795" s="1"/>
      <c r="D795" s="1"/>
      <c r="G795" s="4"/>
      <c r="I795" s="6"/>
    </row>
    <row r="796" ht="12.75" customHeight="1">
      <c r="C796" s="1"/>
      <c r="D796" s="1"/>
      <c r="G796" s="4"/>
      <c r="I796" s="6"/>
    </row>
    <row r="797" ht="12.75" customHeight="1">
      <c r="C797" s="1"/>
      <c r="D797" s="1"/>
      <c r="G797" s="4"/>
      <c r="I797" s="6"/>
    </row>
    <row r="798" ht="12.75" customHeight="1">
      <c r="C798" s="1"/>
      <c r="D798" s="1"/>
      <c r="G798" s="4"/>
      <c r="I798" s="6"/>
    </row>
    <row r="799" ht="12.75" customHeight="1">
      <c r="C799" s="1"/>
      <c r="D799" s="1"/>
      <c r="G799" s="4"/>
      <c r="I799" s="6"/>
    </row>
    <row r="800" ht="12.75" customHeight="1">
      <c r="C800" s="1"/>
      <c r="D800" s="1"/>
      <c r="G800" s="4"/>
      <c r="I800" s="6"/>
    </row>
    <row r="801" ht="12.75" customHeight="1">
      <c r="C801" s="1"/>
      <c r="D801" s="1"/>
      <c r="G801" s="4"/>
      <c r="I801" s="6"/>
    </row>
    <row r="802" ht="12.75" customHeight="1">
      <c r="C802" s="1"/>
      <c r="D802" s="1"/>
      <c r="G802" s="4"/>
      <c r="I802" s="6"/>
    </row>
    <row r="803" ht="12.75" customHeight="1">
      <c r="C803" s="1"/>
      <c r="D803" s="1"/>
      <c r="G803" s="4"/>
      <c r="I803" s="6"/>
    </row>
    <row r="804" ht="12.75" customHeight="1">
      <c r="C804" s="1"/>
      <c r="D804" s="1"/>
      <c r="G804" s="4"/>
      <c r="I804" s="6"/>
    </row>
    <row r="805" ht="12.75" customHeight="1">
      <c r="C805" s="1"/>
      <c r="D805" s="1"/>
      <c r="G805" s="4"/>
      <c r="I805" s="6"/>
    </row>
    <row r="806" ht="12.75" customHeight="1">
      <c r="C806" s="1"/>
      <c r="D806" s="1"/>
      <c r="G806" s="4"/>
      <c r="I806" s="6"/>
    </row>
    <row r="807" ht="12.75" customHeight="1">
      <c r="C807" s="1"/>
      <c r="D807" s="1"/>
      <c r="G807" s="4"/>
      <c r="I807" s="6"/>
    </row>
    <row r="808" ht="12.75" customHeight="1">
      <c r="C808" s="1"/>
      <c r="D808" s="1"/>
      <c r="G808" s="4"/>
      <c r="I808" s="6"/>
    </row>
    <row r="809" ht="12.75" customHeight="1">
      <c r="C809" s="1"/>
      <c r="D809" s="1"/>
      <c r="G809" s="4"/>
      <c r="I809" s="6"/>
    </row>
    <row r="810" ht="12.75" customHeight="1">
      <c r="C810" s="1"/>
      <c r="D810" s="1"/>
      <c r="G810" s="4"/>
      <c r="I810" s="6"/>
    </row>
    <row r="811" ht="12.75" customHeight="1">
      <c r="C811" s="1"/>
      <c r="D811" s="1"/>
      <c r="G811" s="4"/>
      <c r="I811" s="6"/>
    </row>
    <row r="812" ht="12.75" customHeight="1">
      <c r="C812" s="1"/>
      <c r="D812" s="1"/>
      <c r="G812" s="4"/>
      <c r="I812" s="6"/>
    </row>
    <row r="813" ht="12.75" customHeight="1">
      <c r="C813" s="1"/>
      <c r="D813" s="1"/>
      <c r="G813" s="4"/>
      <c r="I813" s="6"/>
    </row>
    <row r="814" ht="12.75" customHeight="1">
      <c r="C814" s="1"/>
      <c r="D814" s="1"/>
      <c r="G814" s="4"/>
      <c r="I814" s="6"/>
    </row>
    <row r="815" ht="12.75" customHeight="1">
      <c r="C815" s="1"/>
      <c r="D815" s="1"/>
      <c r="G815" s="4"/>
      <c r="I815" s="6"/>
    </row>
    <row r="816" ht="12.75" customHeight="1">
      <c r="C816" s="1"/>
      <c r="D816" s="1"/>
      <c r="G816" s="4"/>
      <c r="I816" s="6"/>
    </row>
    <row r="817" ht="12.75" customHeight="1">
      <c r="C817" s="1"/>
      <c r="D817" s="1"/>
      <c r="G817" s="4"/>
      <c r="I817" s="6"/>
    </row>
    <row r="818" ht="12.75" customHeight="1">
      <c r="C818" s="1"/>
      <c r="D818" s="1"/>
      <c r="G818" s="4"/>
      <c r="I818" s="6"/>
    </row>
    <row r="819" ht="12.75" customHeight="1">
      <c r="C819" s="1"/>
      <c r="D819" s="1"/>
      <c r="G819" s="4"/>
      <c r="I819" s="6"/>
    </row>
    <row r="820" ht="12.75" customHeight="1">
      <c r="C820" s="1"/>
      <c r="D820" s="1"/>
      <c r="G820" s="4"/>
      <c r="I820" s="6"/>
    </row>
    <row r="821" ht="12.75" customHeight="1">
      <c r="C821" s="1"/>
      <c r="D821" s="1"/>
      <c r="G821" s="4"/>
      <c r="I821" s="6"/>
    </row>
    <row r="822" ht="12.75" customHeight="1">
      <c r="C822" s="1"/>
      <c r="D822" s="1"/>
      <c r="G822" s="4"/>
      <c r="I822" s="6"/>
    </row>
    <row r="823" ht="12.75" customHeight="1">
      <c r="C823" s="1"/>
      <c r="D823" s="1"/>
      <c r="G823" s="4"/>
      <c r="I823" s="6"/>
    </row>
    <row r="824" ht="12.75" customHeight="1">
      <c r="C824" s="1"/>
      <c r="D824" s="1"/>
      <c r="G824" s="4"/>
      <c r="I824" s="6"/>
    </row>
    <row r="825" ht="12.75" customHeight="1">
      <c r="C825" s="1"/>
      <c r="D825" s="1"/>
      <c r="G825" s="4"/>
      <c r="I825" s="6"/>
    </row>
    <row r="826" ht="12.75" customHeight="1">
      <c r="C826" s="1"/>
      <c r="D826" s="1"/>
      <c r="G826" s="4"/>
      <c r="I826" s="6"/>
    </row>
    <row r="827" ht="12.75" customHeight="1">
      <c r="C827" s="1"/>
      <c r="D827" s="1"/>
      <c r="G827" s="4"/>
      <c r="I827" s="6"/>
    </row>
    <row r="828" ht="12.75" customHeight="1">
      <c r="C828" s="1"/>
      <c r="D828" s="1"/>
      <c r="G828" s="4"/>
      <c r="I828" s="6"/>
    </row>
    <row r="829" ht="12.75" customHeight="1">
      <c r="C829" s="1"/>
      <c r="D829" s="1"/>
      <c r="G829" s="4"/>
      <c r="I829" s="6"/>
    </row>
    <row r="830" ht="12.75" customHeight="1">
      <c r="C830" s="1"/>
      <c r="D830" s="1"/>
      <c r="G830" s="4"/>
      <c r="I830" s="6"/>
    </row>
    <row r="831" ht="12.75" customHeight="1">
      <c r="C831" s="1"/>
      <c r="D831" s="1"/>
      <c r="G831" s="4"/>
      <c r="I831" s="6"/>
    </row>
    <row r="832" ht="12.75" customHeight="1">
      <c r="C832" s="1"/>
      <c r="D832" s="1"/>
      <c r="G832" s="4"/>
      <c r="I832" s="6"/>
    </row>
    <row r="833" ht="12.75" customHeight="1">
      <c r="C833" s="1"/>
      <c r="D833" s="1"/>
      <c r="G833" s="4"/>
      <c r="I833" s="6"/>
    </row>
    <row r="834" ht="12.75" customHeight="1">
      <c r="C834" s="1"/>
      <c r="D834" s="1"/>
      <c r="G834" s="4"/>
      <c r="I834" s="6"/>
    </row>
    <row r="835" ht="12.75" customHeight="1">
      <c r="C835" s="1"/>
      <c r="D835" s="1"/>
      <c r="G835" s="4"/>
      <c r="I835" s="6"/>
    </row>
    <row r="836" ht="12.75" customHeight="1">
      <c r="C836" s="1"/>
      <c r="D836" s="1"/>
      <c r="G836" s="4"/>
      <c r="I836" s="6"/>
    </row>
    <row r="837" ht="12.75" customHeight="1">
      <c r="C837" s="1"/>
      <c r="D837" s="1"/>
      <c r="G837" s="4"/>
      <c r="I837" s="6"/>
    </row>
    <row r="838" ht="12.75" customHeight="1">
      <c r="C838" s="1"/>
      <c r="D838" s="1"/>
      <c r="G838" s="4"/>
      <c r="I838" s="6"/>
    </row>
    <row r="839" ht="12.75" customHeight="1">
      <c r="C839" s="1"/>
      <c r="D839" s="1"/>
      <c r="G839" s="4"/>
      <c r="I839" s="6"/>
    </row>
    <row r="840" ht="12.75" customHeight="1">
      <c r="C840" s="1"/>
      <c r="D840" s="1"/>
      <c r="G840" s="4"/>
      <c r="I840" s="6"/>
    </row>
    <row r="841" ht="12.75" customHeight="1">
      <c r="C841" s="1"/>
      <c r="D841" s="1"/>
      <c r="G841" s="4"/>
      <c r="I841" s="6"/>
    </row>
    <row r="842" ht="12.75" customHeight="1">
      <c r="C842" s="1"/>
      <c r="D842" s="1"/>
      <c r="G842" s="4"/>
      <c r="I842" s="6"/>
    </row>
    <row r="843" ht="12.75" customHeight="1">
      <c r="C843" s="1"/>
      <c r="D843" s="1"/>
      <c r="G843" s="4"/>
      <c r="I843" s="6"/>
    </row>
    <row r="844" ht="12.75" customHeight="1">
      <c r="C844" s="1"/>
      <c r="D844" s="1"/>
      <c r="G844" s="4"/>
      <c r="I844" s="6"/>
    </row>
    <row r="845" ht="12.75" customHeight="1">
      <c r="C845" s="1"/>
      <c r="D845" s="1"/>
      <c r="G845" s="4"/>
      <c r="I845" s="6"/>
    </row>
    <row r="846" ht="12.75" customHeight="1">
      <c r="C846" s="1"/>
      <c r="D846" s="1"/>
      <c r="G846" s="4"/>
      <c r="I846" s="6"/>
    </row>
    <row r="847" ht="12.75" customHeight="1">
      <c r="C847" s="1"/>
      <c r="D847" s="1"/>
      <c r="G847" s="4"/>
      <c r="I847" s="6"/>
    </row>
    <row r="848" ht="12.75" customHeight="1">
      <c r="C848" s="1"/>
      <c r="D848" s="1"/>
      <c r="G848" s="4"/>
      <c r="I848" s="6"/>
    </row>
    <row r="849" ht="12.75" customHeight="1">
      <c r="C849" s="1"/>
      <c r="D849" s="1"/>
      <c r="G849" s="4"/>
      <c r="I849" s="6"/>
    </row>
    <row r="850" ht="12.75" customHeight="1">
      <c r="C850" s="1"/>
      <c r="D850" s="1"/>
      <c r="G850" s="4"/>
      <c r="I850" s="6"/>
    </row>
    <row r="851" ht="12.75" customHeight="1">
      <c r="C851" s="1"/>
      <c r="D851" s="1"/>
      <c r="G851" s="4"/>
      <c r="I851" s="6"/>
    </row>
    <row r="852" ht="12.75" customHeight="1">
      <c r="C852" s="1"/>
      <c r="D852" s="1"/>
      <c r="G852" s="4"/>
      <c r="I852" s="6"/>
    </row>
    <row r="853" ht="12.75" customHeight="1">
      <c r="C853" s="1"/>
      <c r="D853" s="1"/>
      <c r="G853" s="4"/>
      <c r="I853" s="6"/>
    </row>
    <row r="854" ht="12.75" customHeight="1">
      <c r="C854" s="1"/>
      <c r="D854" s="1"/>
      <c r="G854" s="4"/>
      <c r="I854" s="6"/>
    </row>
    <row r="855" ht="12.75" customHeight="1">
      <c r="C855" s="1"/>
      <c r="D855" s="1"/>
      <c r="G855" s="4"/>
      <c r="I855" s="6"/>
    </row>
    <row r="856" ht="12.75" customHeight="1">
      <c r="C856" s="1"/>
      <c r="D856" s="1"/>
      <c r="G856" s="4"/>
      <c r="I856" s="6"/>
    </row>
    <row r="857" ht="12.75" customHeight="1">
      <c r="C857" s="1"/>
      <c r="D857" s="1"/>
      <c r="G857" s="4"/>
      <c r="I857" s="6"/>
    </row>
    <row r="858" ht="12.75" customHeight="1">
      <c r="C858" s="1"/>
      <c r="D858" s="1"/>
      <c r="G858" s="4"/>
      <c r="I858" s="6"/>
    </row>
    <row r="859" ht="12.75" customHeight="1">
      <c r="C859" s="1"/>
      <c r="D859" s="1"/>
      <c r="G859" s="4"/>
      <c r="I859" s="6"/>
    </row>
    <row r="860" ht="12.75" customHeight="1">
      <c r="C860" s="1"/>
      <c r="D860" s="1"/>
      <c r="G860" s="4"/>
      <c r="I860" s="6"/>
    </row>
    <row r="861" ht="12.75" customHeight="1">
      <c r="C861" s="1"/>
      <c r="D861" s="1"/>
      <c r="G861" s="4"/>
      <c r="I861" s="6"/>
    </row>
    <row r="862" ht="12.75" customHeight="1">
      <c r="C862" s="1"/>
      <c r="D862" s="1"/>
      <c r="G862" s="4"/>
      <c r="I862" s="6"/>
    </row>
    <row r="863" ht="12.75" customHeight="1">
      <c r="C863" s="1"/>
      <c r="D863" s="1"/>
      <c r="G863" s="4"/>
      <c r="I863" s="6"/>
    </row>
    <row r="864" ht="12.75" customHeight="1">
      <c r="C864" s="1"/>
      <c r="D864" s="1"/>
      <c r="G864" s="4"/>
      <c r="I864" s="6"/>
    </row>
    <row r="865" ht="12.75" customHeight="1">
      <c r="C865" s="1"/>
      <c r="D865" s="1"/>
      <c r="G865" s="4"/>
      <c r="I865" s="6"/>
    </row>
    <row r="866" ht="12.75" customHeight="1">
      <c r="C866" s="1"/>
      <c r="D866" s="1"/>
      <c r="G866" s="4"/>
      <c r="I866" s="6"/>
    </row>
    <row r="867" ht="12.75" customHeight="1">
      <c r="C867" s="1"/>
      <c r="D867" s="1"/>
      <c r="G867" s="4"/>
      <c r="I867" s="6"/>
    </row>
    <row r="868" ht="12.75" customHeight="1">
      <c r="C868" s="1"/>
      <c r="D868" s="1"/>
      <c r="G868" s="4"/>
      <c r="I868" s="6"/>
    </row>
    <row r="869" ht="12.75" customHeight="1">
      <c r="C869" s="1"/>
      <c r="D869" s="1"/>
      <c r="G869" s="4"/>
      <c r="I869" s="6"/>
    </row>
    <row r="870" ht="12.75" customHeight="1">
      <c r="C870" s="1"/>
      <c r="D870" s="1"/>
      <c r="G870" s="4"/>
      <c r="I870" s="6"/>
    </row>
    <row r="871" ht="12.75" customHeight="1">
      <c r="C871" s="1"/>
      <c r="D871" s="1"/>
      <c r="G871" s="4"/>
      <c r="I871" s="6"/>
    </row>
    <row r="872" ht="12.75" customHeight="1">
      <c r="C872" s="1"/>
      <c r="D872" s="1"/>
      <c r="G872" s="4"/>
      <c r="I872" s="6"/>
    </row>
    <row r="873" ht="12.75" customHeight="1">
      <c r="C873" s="1"/>
      <c r="D873" s="1"/>
      <c r="G873" s="4"/>
      <c r="I873" s="6"/>
    </row>
    <row r="874" ht="12.75" customHeight="1">
      <c r="C874" s="1"/>
      <c r="D874" s="1"/>
      <c r="G874" s="4"/>
      <c r="I874" s="6"/>
    </row>
    <row r="875" ht="12.75" customHeight="1">
      <c r="C875" s="1"/>
      <c r="D875" s="1"/>
      <c r="G875" s="4"/>
      <c r="I875" s="6"/>
    </row>
    <row r="876" ht="12.75" customHeight="1">
      <c r="C876" s="1"/>
      <c r="D876" s="1"/>
      <c r="G876" s="4"/>
      <c r="I876" s="6"/>
    </row>
    <row r="877" ht="12.75" customHeight="1">
      <c r="C877" s="1"/>
      <c r="D877" s="1"/>
      <c r="G877" s="4"/>
      <c r="I877" s="6"/>
    </row>
    <row r="878" ht="12.75" customHeight="1">
      <c r="C878" s="1"/>
      <c r="D878" s="1"/>
      <c r="G878" s="4"/>
      <c r="I878" s="6"/>
    </row>
    <row r="879" ht="12.75" customHeight="1">
      <c r="C879" s="1"/>
      <c r="D879" s="1"/>
      <c r="G879" s="4"/>
      <c r="I879" s="6"/>
    </row>
    <row r="880" ht="12.75" customHeight="1">
      <c r="C880" s="1"/>
      <c r="D880" s="1"/>
      <c r="G880" s="4"/>
      <c r="I880" s="6"/>
    </row>
    <row r="881" ht="12.75" customHeight="1">
      <c r="C881" s="1"/>
      <c r="D881" s="1"/>
      <c r="G881" s="4"/>
      <c r="I881" s="6"/>
    </row>
    <row r="882" ht="12.75" customHeight="1">
      <c r="C882" s="1"/>
      <c r="D882" s="1"/>
      <c r="G882" s="4"/>
      <c r="I882" s="6"/>
    </row>
    <row r="883" ht="12.75" customHeight="1">
      <c r="C883" s="1"/>
      <c r="D883" s="1"/>
      <c r="G883" s="4"/>
      <c r="I883" s="6"/>
    </row>
    <row r="884" ht="12.75" customHeight="1">
      <c r="C884" s="1"/>
      <c r="D884" s="1"/>
      <c r="G884" s="4"/>
      <c r="I884" s="6"/>
    </row>
    <row r="885" ht="12.75" customHeight="1">
      <c r="C885" s="1"/>
      <c r="D885" s="1"/>
      <c r="G885" s="4"/>
      <c r="I885" s="6"/>
    </row>
    <row r="886" ht="12.75" customHeight="1">
      <c r="C886" s="1"/>
      <c r="D886" s="1"/>
      <c r="G886" s="4"/>
      <c r="I886" s="6"/>
    </row>
    <row r="887" ht="12.75" customHeight="1">
      <c r="C887" s="1"/>
      <c r="D887" s="1"/>
      <c r="G887" s="4"/>
      <c r="I887" s="6"/>
    </row>
    <row r="888" ht="12.75" customHeight="1">
      <c r="C888" s="1"/>
      <c r="D888" s="1"/>
      <c r="G888" s="4"/>
      <c r="I888" s="6"/>
    </row>
    <row r="889" ht="12.75" customHeight="1">
      <c r="C889" s="1"/>
      <c r="D889" s="1"/>
      <c r="G889" s="4"/>
      <c r="I889" s="6"/>
    </row>
    <row r="890" ht="12.75" customHeight="1">
      <c r="C890" s="1"/>
      <c r="D890" s="1"/>
      <c r="G890" s="4"/>
      <c r="I890" s="6"/>
    </row>
    <row r="891" ht="12.75" customHeight="1">
      <c r="C891" s="1"/>
      <c r="D891" s="1"/>
      <c r="G891" s="4"/>
      <c r="I891" s="6"/>
    </row>
    <row r="892" ht="12.75" customHeight="1">
      <c r="C892" s="1"/>
      <c r="D892" s="1"/>
      <c r="G892" s="4"/>
      <c r="I892" s="6"/>
    </row>
    <row r="893" ht="12.75" customHeight="1">
      <c r="C893" s="1"/>
      <c r="D893" s="1"/>
      <c r="G893" s="4"/>
      <c r="I893" s="6"/>
    </row>
    <row r="894" ht="12.75" customHeight="1">
      <c r="C894" s="1"/>
      <c r="D894" s="1"/>
      <c r="G894" s="4"/>
      <c r="I894" s="6"/>
    </row>
    <row r="895" ht="12.75" customHeight="1">
      <c r="C895" s="1"/>
      <c r="D895" s="1"/>
      <c r="G895" s="4"/>
      <c r="I895" s="6"/>
    </row>
    <row r="896" ht="12.75" customHeight="1">
      <c r="C896" s="1"/>
      <c r="D896" s="1"/>
      <c r="G896" s="4"/>
      <c r="I896" s="6"/>
    </row>
    <row r="897" ht="12.75" customHeight="1">
      <c r="C897" s="1"/>
      <c r="D897" s="1"/>
      <c r="G897" s="4"/>
      <c r="I897" s="6"/>
    </row>
    <row r="898" ht="12.75" customHeight="1">
      <c r="C898" s="1"/>
      <c r="D898" s="1"/>
      <c r="G898" s="4"/>
      <c r="I898" s="6"/>
    </row>
    <row r="899" ht="12.75" customHeight="1">
      <c r="C899" s="1"/>
      <c r="D899" s="1"/>
      <c r="G899" s="4"/>
      <c r="I899" s="6"/>
    </row>
    <row r="900" ht="12.75" customHeight="1">
      <c r="C900" s="1"/>
      <c r="D900" s="1"/>
      <c r="G900" s="4"/>
      <c r="I900" s="6"/>
    </row>
    <row r="901" ht="12.75" customHeight="1">
      <c r="C901" s="1"/>
      <c r="D901" s="1"/>
      <c r="G901" s="4"/>
      <c r="I901" s="6"/>
    </row>
    <row r="902" ht="12.75" customHeight="1">
      <c r="C902" s="1"/>
      <c r="D902" s="1"/>
      <c r="G902" s="4"/>
      <c r="I902" s="6"/>
    </row>
    <row r="903" ht="12.75" customHeight="1">
      <c r="C903" s="1"/>
      <c r="D903" s="1"/>
      <c r="G903" s="4"/>
      <c r="I903" s="6"/>
    </row>
    <row r="904" ht="12.75" customHeight="1">
      <c r="C904" s="1"/>
      <c r="D904" s="1"/>
      <c r="G904" s="4"/>
      <c r="I904" s="6"/>
    </row>
    <row r="905" ht="12.75" customHeight="1">
      <c r="C905" s="1"/>
      <c r="D905" s="1"/>
      <c r="G905" s="4"/>
      <c r="I905" s="6"/>
    </row>
    <row r="906" ht="12.75" customHeight="1">
      <c r="C906" s="1"/>
      <c r="D906" s="1"/>
      <c r="G906" s="4"/>
      <c r="I906" s="6"/>
    </row>
    <row r="907" ht="12.75" customHeight="1">
      <c r="C907" s="1"/>
      <c r="D907" s="1"/>
      <c r="G907" s="4"/>
      <c r="I907" s="6"/>
    </row>
    <row r="908" ht="12.75" customHeight="1">
      <c r="C908" s="1"/>
      <c r="D908" s="1"/>
      <c r="G908" s="4"/>
      <c r="I908" s="6"/>
    </row>
    <row r="909" ht="12.75" customHeight="1">
      <c r="C909" s="1"/>
      <c r="D909" s="1"/>
      <c r="G909" s="4"/>
      <c r="I909" s="6"/>
    </row>
    <row r="910" ht="12.75" customHeight="1">
      <c r="C910" s="1"/>
      <c r="D910" s="1"/>
      <c r="G910" s="4"/>
      <c r="I910" s="6"/>
    </row>
    <row r="911" ht="12.75" customHeight="1">
      <c r="C911" s="1"/>
      <c r="D911" s="1"/>
      <c r="G911" s="4"/>
      <c r="I911" s="6"/>
    </row>
    <row r="912" ht="12.75" customHeight="1">
      <c r="C912" s="1"/>
      <c r="D912" s="1"/>
      <c r="G912" s="4"/>
      <c r="I912" s="6"/>
    </row>
    <row r="913" ht="12.75" customHeight="1">
      <c r="C913" s="1"/>
      <c r="D913" s="1"/>
      <c r="G913" s="4"/>
      <c r="I913" s="6"/>
    </row>
    <row r="914" ht="12.75" customHeight="1">
      <c r="C914" s="1"/>
      <c r="D914" s="1"/>
      <c r="G914" s="4"/>
      <c r="I914" s="6"/>
    </row>
    <row r="915" ht="12.75" customHeight="1">
      <c r="C915" s="1"/>
      <c r="D915" s="1"/>
      <c r="G915" s="4"/>
      <c r="I915" s="6"/>
    </row>
    <row r="916" ht="12.75" customHeight="1">
      <c r="C916" s="1"/>
      <c r="D916" s="1"/>
      <c r="G916" s="4"/>
      <c r="I916" s="6"/>
    </row>
    <row r="917" ht="12.75" customHeight="1">
      <c r="C917" s="1"/>
      <c r="D917" s="1"/>
      <c r="G917" s="4"/>
      <c r="I917" s="6"/>
    </row>
    <row r="918" ht="12.75" customHeight="1">
      <c r="C918" s="1"/>
      <c r="D918" s="1"/>
      <c r="G918" s="4"/>
      <c r="I918" s="6"/>
    </row>
    <row r="919" ht="12.75" customHeight="1">
      <c r="C919" s="1"/>
      <c r="D919" s="1"/>
      <c r="G919" s="4"/>
      <c r="I919" s="6"/>
    </row>
    <row r="920" ht="12.75" customHeight="1">
      <c r="C920" s="1"/>
      <c r="D920" s="1"/>
      <c r="G920" s="4"/>
      <c r="I920" s="6"/>
    </row>
    <row r="921" ht="12.75" customHeight="1">
      <c r="C921" s="1"/>
      <c r="D921" s="1"/>
      <c r="G921" s="4"/>
      <c r="I921" s="6"/>
    </row>
    <row r="922" ht="12.75" customHeight="1">
      <c r="C922" s="1"/>
      <c r="D922" s="1"/>
      <c r="G922" s="4"/>
      <c r="I922" s="6"/>
    </row>
    <row r="923" ht="12.75" customHeight="1">
      <c r="C923" s="1"/>
      <c r="D923" s="1"/>
      <c r="G923" s="4"/>
      <c r="I923" s="6"/>
    </row>
    <row r="924" ht="12.75" customHeight="1">
      <c r="C924" s="1"/>
      <c r="D924" s="1"/>
      <c r="G924" s="4"/>
      <c r="I924" s="6"/>
    </row>
    <row r="925" ht="12.75" customHeight="1">
      <c r="C925" s="1"/>
      <c r="D925" s="1"/>
      <c r="G925" s="4"/>
      <c r="I925" s="6"/>
    </row>
    <row r="926" ht="12.75" customHeight="1">
      <c r="C926" s="1"/>
      <c r="D926" s="1"/>
      <c r="G926" s="4"/>
      <c r="I926" s="6"/>
    </row>
    <row r="927" ht="12.75" customHeight="1">
      <c r="C927" s="1"/>
      <c r="D927" s="1"/>
      <c r="G927" s="4"/>
      <c r="I927" s="6"/>
    </row>
    <row r="928" ht="12.75" customHeight="1">
      <c r="C928" s="1"/>
      <c r="D928" s="1"/>
      <c r="G928" s="4"/>
      <c r="I928" s="6"/>
    </row>
    <row r="929" ht="12.75" customHeight="1">
      <c r="C929" s="1"/>
      <c r="D929" s="1"/>
      <c r="G929" s="4"/>
      <c r="I929" s="6"/>
    </row>
    <row r="930" ht="12.75" customHeight="1">
      <c r="C930" s="1"/>
      <c r="D930" s="1"/>
      <c r="G930" s="4"/>
      <c r="I930" s="6"/>
    </row>
    <row r="931" ht="12.75" customHeight="1">
      <c r="C931" s="1"/>
      <c r="D931" s="1"/>
      <c r="G931" s="4"/>
      <c r="I931" s="6"/>
    </row>
    <row r="932" ht="12.75" customHeight="1">
      <c r="C932" s="1"/>
      <c r="D932" s="1"/>
      <c r="G932" s="4"/>
      <c r="I932" s="6"/>
    </row>
    <row r="933" ht="12.75" customHeight="1">
      <c r="C933" s="1"/>
      <c r="D933" s="1"/>
      <c r="G933" s="4"/>
      <c r="I933" s="6"/>
    </row>
    <row r="934" ht="12.75" customHeight="1">
      <c r="C934" s="1"/>
      <c r="D934" s="1"/>
      <c r="G934" s="4"/>
      <c r="I934" s="6"/>
    </row>
    <row r="935" ht="12.75" customHeight="1">
      <c r="C935" s="1"/>
      <c r="D935" s="1"/>
      <c r="G935" s="4"/>
      <c r="I935" s="6"/>
    </row>
    <row r="936" ht="12.75" customHeight="1">
      <c r="C936" s="1"/>
      <c r="D936" s="1"/>
      <c r="G936" s="4"/>
      <c r="I936" s="6"/>
    </row>
    <row r="937" ht="12.75" customHeight="1">
      <c r="C937" s="1"/>
      <c r="D937" s="1"/>
      <c r="G937" s="4"/>
      <c r="I937" s="6"/>
    </row>
    <row r="938" ht="12.75" customHeight="1">
      <c r="C938" s="1"/>
      <c r="D938" s="1"/>
      <c r="G938" s="4"/>
      <c r="I938" s="6"/>
    </row>
    <row r="939" ht="12.75" customHeight="1">
      <c r="C939" s="1"/>
      <c r="D939" s="1"/>
      <c r="G939" s="4"/>
      <c r="I939" s="6"/>
    </row>
    <row r="940" ht="12.75" customHeight="1">
      <c r="C940" s="1"/>
      <c r="D940" s="1"/>
      <c r="G940" s="4"/>
      <c r="I940" s="6"/>
    </row>
    <row r="941" ht="12.75" customHeight="1">
      <c r="C941" s="1"/>
      <c r="D941" s="1"/>
      <c r="G941" s="4"/>
      <c r="I941" s="6"/>
    </row>
    <row r="942" ht="12.75" customHeight="1">
      <c r="C942" s="1"/>
      <c r="D942" s="1"/>
      <c r="G942" s="4"/>
      <c r="I942" s="6"/>
    </row>
    <row r="943" ht="12.75" customHeight="1">
      <c r="C943" s="1"/>
      <c r="D943" s="1"/>
      <c r="G943" s="4"/>
      <c r="I943" s="6"/>
    </row>
    <row r="944" ht="12.75" customHeight="1">
      <c r="C944" s="1"/>
      <c r="D944" s="1"/>
      <c r="G944" s="4"/>
      <c r="I944" s="6"/>
    </row>
    <row r="945" ht="12.75" customHeight="1">
      <c r="C945" s="1"/>
      <c r="D945" s="1"/>
      <c r="G945" s="4"/>
      <c r="I945" s="6"/>
    </row>
    <row r="946" ht="12.75" customHeight="1">
      <c r="C946" s="1"/>
      <c r="D946" s="1"/>
      <c r="G946" s="4"/>
      <c r="I946" s="6"/>
    </row>
    <row r="947" ht="12.75" customHeight="1">
      <c r="C947" s="1"/>
      <c r="D947" s="1"/>
      <c r="G947" s="4"/>
      <c r="I947" s="6"/>
    </row>
    <row r="948" ht="12.75" customHeight="1">
      <c r="C948" s="1"/>
      <c r="D948" s="1"/>
      <c r="G948" s="4"/>
      <c r="I948" s="6"/>
    </row>
    <row r="949" ht="12.75" customHeight="1">
      <c r="C949" s="1"/>
      <c r="D949" s="1"/>
      <c r="G949" s="4"/>
      <c r="I949" s="6"/>
    </row>
    <row r="950" ht="12.75" customHeight="1">
      <c r="C950" s="1"/>
      <c r="D950" s="1"/>
      <c r="G950" s="4"/>
      <c r="I950" s="6"/>
    </row>
    <row r="951" ht="12.75" customHeight="1">
      <c r="C951" s="1"/>
      <c r="D951" s="1"/>
      <c r="G951" s="4"/>
      <c r="I951" s="6"/>
    </row>
    <row r="952" ht="12.75" customHeight="1">
      <c r="C952" s="1"/>
      <c r="D952" s="1"/>
      <c r="G952" s="4"/>
      <c r="I952" s="6"/>
    </row>
    <row r="953" ht="12.75" customHeight="1">
      <c r="C953" s="1"/>
      <c r="D953" s="1"/>
      <c r="G953" s="4"/>
      <c r="I953" s="6"/>
    </row>
    <row r="954" ht="12.75" customHeight="1">
      <c r="C954" s="1"/>
      <c r="D954" s="1"/>
      <c r="G954" s="4"/>
      <c r="I954" s="6"/>
    </row>
    <row r="955" ht="12.75" customHeight="1">
      <c r="C955" s="1"/>
      <c r="D955" s="1"/>
      <c r="G955" s="4"/>
      <c r="I955" s="6"/>
    </row>
    <row r="956" ht="12.75" customHeight="1">
      <c r="C956" s="1"/>
      <c r="D956" s="1"/>
      <c r="G956" s="4"/>
      <c r="I956" s="6"/>
    </row>
    <row r="957" ht="12.75" customHeight="1">
      <c r="C957" s="1"/>
      <c r="D957" s="1"/>
      <c r="G957" s="4"/>
      <c r="I957" s="6"/>
    </row>
    <row r="958" ht="12.75" customHeight="1">
      <c r="C958" s="1"/>
      <c r="D958" s="1"/>
      <c r="G958" s="4"/>
      <c r="I958" s="6"/>
    </row>
    <row r="959" ht="12.75" customHeight="1">
      <c r="C959" s="1"/>
      <c r="D959" s="1"/>
      <c r="G959" s="4"/>
      <c r="I959" s="6"/>
    </row>
    <row r="960" ht="12.75" customHeight="1">
      <c r="C960" s="1"/>
      <c r="D960" s="1"/>
      <c r="G960" s="4"/>
      <c r="I960" s="6"/>
    </row>
    <row r="961" ht="12.75" customHeight="1">
      <c r="C961" s="1"/>
      <c r="D961" s="1"/>
      <c r="G961" s="4"/>
      <c r="I961" s="6"/>
    </row>
    <row r="962" ht="12.75" customHeight="1">
      <c r="C962" s="1"/>
      <c r="D962" s="1"/>
      <c r="G962" s="4"/>
      <c r="I962" s="6"/>
    </row>
    <row r="963" ht="12.75" customHeight="1">
      <c r="C963" s="1"/>
      <c r="D963" s="1"/>
      <c r="G963" s="4"/>
      <c r="I963" s="6"/>
    </row>
    <row r="964" ht="12.75" customHeight="1">
      <c r="C964" s="1"/>
      <c r="D964" s="1"/>
      <c r="G964" s="4"/>
      <c r="I964" s="6"/>
    </row>
    <row r="965" ht="12.75" customHeight="1">
      <c r="C965" s="1"/>
      <c r="D965" s="1"/>
      <c r="G965" s="4"/>
      <c r="I965" s="6"/>
    </row>
    <row r="966" ht="12.75" customHeight="1">
      <c r="C966" s="1"/>
      <c r="D966" s="1"/>
      <c r="G966" s="4"/>
      <c r="I966" s="6"/>
    </row>
    <row r="967" ht="12.75" customHeight="1">
      <c r="C967" s="1"/>
      <c r="D967" s="1"/>
      <c r="G967" s="4"/>
      <c r="I967" s="6"/>
    </row>
    <row r="968" ht="12.75" customHeight="1">
      <c r="C968" s="1"/>
      <c r="D968" s="1"/>
      <c r="G968" s="4"/>
      <c r="I968" s="6"/>
    </row>
    <row r="969" ht="12.75" customHeight="1">
      <c r="C969" s="1"/>
      <c r="D969" s="1"/>
      <c r="G969" s="4"/>
      <c r="I969" s="6"/>
    </row>
    <row r="970" ht="12.75" customHeight="1">
      <c r="C970" s="1"/>
      <c r="D970" s="1"/>
      <c r="G970" s="4"/>
      <c r="I970" s="6"/>
    </row>
    <row r="971" ht="12.75" customHeight="1">
      <c r="C971" s="1"/>
      <c r="D971" s="1"/>
      <c r="G971" s="4"/>
      <c r="I971" s="6"/>
    </row>
    <row r="972" ht="12.75" customHeight="1">
      <c r="C972" s="1"/>
      <c r="D972" s="1"/>
      <c r="G972" s="4"/>
      <c r="I972" s="6"/>
    </row>
    <row r="973" ht="12.75" customHeight="1">
      <c r="C973" s="1"/>
      <c r="D973" s="1"/>
      <c r="G973" s="4"/>
      <c r="I973" s="6"/>
    </row>
    <row r="974" ht="12.75" customHeight="1">
      <c r="C974" s="1"/>
      <c r="D974" s="1"/>
      <c r="G974" s="4"/>
      <c r="I974" s="6"/>
    </row>
    <row r="975" ht="12.75" customHeight="1">
      <c r="C975" s="1"/>
      <c r="D975" s="1"/>
      <c r="G975" s="4"/>
      <c r="I975" s="6"/>
    </row>
    <row r="976" ht="12.75" customHeight="1">
      <c r="C976" s="1"/>
      <c r="D976" s="1"/>
      <c r="G976" s="4"/>
      <c r="I976" s="6"/>
    </row>
    <row r="977" ht="12.75" customHeight="1">
      <c r="C977" s="1"/>
      <c r="D977" s="1"/>
      <c r="G977" s="4"/>
      <c r="I977" s="6"/>
    </row>
    <row r="978" ht="12.75" customHeight="1">
      <c r="C978" s="1"/>
      <c r="D978" s="1"/>
      <c r="G978" s="4"/>
      <c r="I978" s="6"/>
    </row>
    <row r="979" ht="12.75" customHeight="1">
      <c r="C979" s="1"/>
      <c r="D979" s="1"/>
      <c r="G979" s="4"/>
      <c r="I979" s="6"/>
    </row>
    <row r="980" ht="12.75" customHeight="1">
      <c r="C980" s="1"/>
      <c r="D980" s="1"/>
      <c r="G980" s="4"/>
      <c r="I980" s="6"/>
    </row>
    <row r="981" ht="12.75" customHeight="1">
      <c r="C981" s="1"/>
      <c r="D981" s="1"/>
      <c r="G981" s="4"/>
      <c r="I981" s="6"/>
    </row>
    <row r="982" ht="12.75" customHeight="1">
      <c r="C982" s="1"/>
      <c r="D982" s="1"/>
      <c r="G982" s="4"/>
      <c r="I982" s="6"/>
    </row>
    <row r="983" ht="12.75" customHeight="1">
      <c r="C983" s="1"/>
      <c r="D983" s="1"/>
      <c r="G983" s="4"/>
      <c r="I983" s="6"/>
    </row>
    <row r="984" ht="12.75" customHeight="1">
      <c r="C984" s="1"/>
      <c r="D984" s="1"/>
      <c r="G984" s="4"/>
      <c r="I984" s="6"/>
    </row>
    <row r="985" ht="12.75" customHeight="1">
      <c r="C985" s="1"/>
      <c r="D985" s="1"/>
      <c r="G985" s="4"/>
      <c r="I985" s="6"/>
    </row>
    <row r="986" ht="12.75" customHeight="1">
      <c r="C986" s="1"/>
      <c r="D986" s="1"/>
      <c r="G986" s="4"/>
      <c r="I986" s="6"/>
    </row>
    <row r="987" ht="12.75" customHeight="1">
      <c r="C987" s="1"/>
      <c r="D987" s="1"/>
      <c r="G987" s="4"/>
      <c r="I987" s="6"/>
    </row>
    <row r="988" ht="12.75" customHeight="1">
      <c r="C988" s="1"/>
      <c r="D988" s="1"/>
      <c r="G988" s="4"/>
      <c r="I988" s="6"/>
    </row>
    <row r="989" ht="12.75" customHeight="1">
      <c r="C989" s="1"/>
      <c r="D989" s="1"/>
      <c r="G989" s="4"/>
      <c r="I989" s="6"/>
    </row>
    <row r="990" ht="12.75" customHeight="1">
      <c r="C990" s="1"/>
      <c r="D990" s="1"/>
      <c r="G990" s="4"/>
      <c r="I990" s="6"/>
    </row>
    <row r="991" ht="12.75" customHeight="1">
      <c r="C991" s="1"/>
      <c r="D991" s="1"/>
      <c r="G991" s="4"/>
      <c r="I991" s="6"/>
    </row>
    <row r="992" ht="12.75" customHeight="1">
      <c r="C992" s="1"/>
      <c r="D992" s="1"/>
      <c r="G992" s="4"/>
      <c r="I992" s="6"/>
    </row>
    <row r="993" ht="12.75" customHeight="1">
      <c r="C993" s="1"/>
      <c r="D993" s="1"/>
      <c r="G993" s="4"/>
      <c r="I993" s="6"/>
    </row>
    <row r="994" ht="12.75" customHeight="1">
      <c r="C994" s="1"/>
      <c r="D994" s="1"/>
      <c r="G994" s="4"/>
      <c r="I994" s="6"/>
    </row>
    <row r="995" ht="12.75" customHeight="1">
      <c r="C995" s="1"/>
      <c r="D995" s="1"/>
      <c r="G995" s="4"/>
      <c r="I995" s="6"/>
    </row>
    <row r="996" ht="12.75" customHeight="1">
      <c r="C996" s="1"/>
      <c r="D996" s="1"/>
      <c r="G996" s="4"/>
      <c r="I996" s="6"/>
    </row>
    <row r="997" ht="12.75" customHeight="1">
      <c r="C997" s="1"/>
      <c r="D997" s="1"/>
      <c r="G997" s="4"/>
      <c r="I997" s="6"/>
    </row>
    <row r="998" ht="12.75" customHeight="1">
      <c r="C998" s="1"/>
      <c r="D998" s="1"/>
      <c r="G998" s="4"/>
      <c r="I998" s="6"/>
    </row>
    <row r="999" ht="12.75" customHeight="1">
      <c r="C999" s="1"/>
      <c r="D999" s="1"/>
      <c r="G999" s="4"/>
      <c r="I999" s="6"/>
    </row>
    <row r="1000" ht="12.75" customHeight="1">
      <c r="C1000" s="1"/>
      <c r="D1000" s="1"/>
      <c r="G1000" s="4"/>
      <c r="I1000" s="6"/>
    </row>
  </sheetData>
  <autoFilter ref="$B$7:$AA$92"/>
  <mergeCells count="3">
    <mergeCell ref="I8:I10"/>
    <mergeCell ref="Z8:Z10"/>
    <mergeCell ref="AB8:AB10"/>
  </mergeCell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25"/>
    <col customWidth="1" min="2" max="2" width="19.38"/>
    <col customWidth="1" min="3" max="3" width="18.38"/>
    <col customWidth="1" min="4" max="4" width="18.13"/>
    <col customWidth="1" min="5" max="5" width="17.88"/>
    <col customWidth="1" min="6" max="6" width="23.25"/>
    <col customWidth="1" min="7" max="7" width="18.13"/>
    <col customWidth="1" min="8" max="8" width="25.75"/>
    <col customWidth="1" min="9" max="9" width="16.25"/>
    <col customWidth="1" min="10" max="10" width="17.13"/>
    <col customWidth="1" min="11" max="11" width="19.13"/>
    <col customWidth="1" min="12" max="12" width="17.63"/>
    <col customWidth="1" min="13" max="13" width="23.88"/>
    <col customWidth="1" min="14" max="14" width="19.88"/>
    <col customWidth="1" min="15" max="15" width="22.0"/>
    <col customWidth="1" min="16" max="16" width="21.75"/>
    <col customWidth="1" min="17" max="17" width="22.75"/>
    <col customWidth="1" min="18" max="18" width="20.38"/>
    <col customWidth="1" min="19" max="19" width="25.0"/>
    <col customWidth="1" min="20" max="20" width="14.25"/>
    <col customWidth="1" min="21" max="21" width="19.0"/>
    <col customWidth="1" min="22" max="22" width="20.88"/>
    <col customWidth="1" min="23" max="23" width="27.13"/>
    <col customWidth="1" min="24" max="24" width="22.13"/>
    <col customWidth="1" min="25" max="25" width="23.75"/>
    <col customWidth="1" min="26" max="26" width="19.63"/>
    <col customWidth="1" min="27" max="27" width="17.13"/>
    <col customWidth="1" min="28" max="28" width="23.63"/>
    <col customWidth="1" min="29" max="29" width="34.25"/>
    <col customWidth="1" min="30" max="30" width="21.0"/>
    <col customWidth="1" min="31" max="31" width="22.0"/>
    <col customWidth="1" min="32" max="32" width="22.75"/>
  </cols>
  <sheetData>
    <row r="1" ht="18.0" customHeight="1">
      <c r="A1" s="3" t="s">
        <v>2</v>
      </c>
    </row>
    <row r="2" ht="18.0" customHeight="1">
      <c r="A2" s="3"/>
      <c r="B2" s="7"/>
      <c r="C2" s="7"/>
      <c r="D2" s="7"/>
      <c r="E2" s="7"/>
      <c r="F2" s="7"/>
    </row>
    <row r="3" ht="15.75" customHeight="1">
      <c r="A3" s="11" t="s">
        <v>3</v>
      </c>
      <c r="B3" s="12"/>
      <c r="C3" s="12"/>
      <c r="D3" s="12"/>
      <c r="E3" s="12"/>
      <c r="F3" s="12"/>
    </row>
    <row r="4" ht="15.75" customHeight="1">
      <c r="A4" s="11" t="s">
        <v>4</v>
      </c>
      <c r="B4" s="12"/>
      <c r="C4" s="12"/>
      <c r="D4" s="12"/>
      <c r="E4" s="12"/>
      <c r="F4" s="12"/>
    </row>
    <row r="5" ht="15.75" customHeight="1">
      <c r="A5" s="11" t="s">
        <v>5</v>
      </c>
      <c r="B5" s="14"/>
      <c r="C5" s="14"/>
      <c r="D5" s="14"/>
      <c r="E5" s="14"/>
      <c r="F5" s="14"/>
    </row>
    <row r="6" ht="20.25" customHeight="1">
      <c r="A6" s="16"/>
      <c r="B6" s="18"/>
      <c r="C6" s="14"/>
      <c r="D6" s="14"/>
      <c r="E6" s="14"/>
      <c r="F6" s="14"/>
      <c r="O6" s="19"/>
    </row>
    <row r="7" ht="42.75" customHeight="1">
      <c r="A7" s="23" t="s">
        <v>10</v>
      </c>
      <c r="B7" s="23" t="s">
        <v>11</v>
      </c>
      <c r="C7" s="25" t="s">
        <v>12</v>
      </c>
      <c r="D7" s="27"/>
      <c r="E7" s="27"/>
      <c r="F7" s="29"/>
      <c r="G7" s="31"/>
      <c r="H7" s="23"/>
      <c r="I7" s="23"/>
      <c r="J7" s="23"/>
      <c r="K7" s="33"/>
      <c r="L7" s="34" t="s">
        <v>14</v>
      </c>
      <c r="M7" s="36"/>
      <c r="N7" s="36"/>
      <c r="O7" s="35" t="s">
        <v>13</v>
      </c>
      <c r="P7" s="31"/>
      <c r="Q7" s="23" t="s">
        <v>13</v>
      </c>
      <c r="R7" s="23"/>
      <c r="S7" s="23" t="s">
        <v>21</v>
      </c>
      <c r="T7" s="33" t="s">
        <v>16</v>
      </c>
      <c r="U7" s="37"/>
      <c r="V7" s="23"/>
      <c r="W7" s="23" t="s">
        <v>17</v>
      </c>
      <c r="X7" s="34" t="s">
        <v>25</v>
      </c>
      <c r="Y7" s="41"/>
      <c r="Z7" s="41"/>
      <c r="AA7" s="43" t="s">
        <v>29</v>
      </c>
      <c r="AB7" s="44"/>
      <c r="AC7" s="45"/>
      <c r="AD7" s="23" t="s">
        <v>20</v>
      </c>
      <c r="AE7" s="23" t="s">
        <v>22</v>
      </c>
      <c r="AF7" s="35" t="s">
        <v>32</v>
      </c>
    </row>
    <row r="8" ht="44.25" customHeight="1">
      <c r="A8" s="47" t="s">
        <v>24</v>
      </c>
      <c r="B8" s="47" t="s">
        <v>37</v>
      </c>
      <c r="C8" s="47"/>
      <c r="D8" s="47" t="s">
        <v>27</v>
      </c>
      <c r="E8" s="47" t="s">
        <v>28</v>
      </c>
      <c r="F8" s="47" t="s">
        <v>40</v>
      </c>
      <c r="G8" s="47" t="s">
        <v>41</v>
      </c>
      <c r="H8" s="47" t="s">
        <v>33</v>
      </c>
      <c r="I8" s="47" t="s">
        <v>42</v>
      </c>
      <c r="J8" s="47" t="s">
        <v>38</v>
      </c>
      <c r="K8" s="49" t="s">
        <v>39</v>
      </c>
      <c r="L8" s="51"/>
      <c r="M8" s="51" t="s">
        <v>49</v>
      </c>
      <c r="N8" s="53"/>
      <c r="O8" s="47" t="s">
        <v>43</v>
      </c>
      <c r="P8" s="47" t="s">
        <v>44</v>
      </c>
      <c r="Q8" s="47" t="s">
        <v>45</v>
      </c>
      <c r="R8" s="47" t="s">
        <v>57</v>
      </c>
      <c r="S8" s="47" t="s">
        <v>58</v>
      </c>
      <c r="T8" s="23" t="s">
        <v>60</v>
      </c>
      <c r="U8" s="35" t="s">
        <v>61</v>
      </c>
      <c r="V8" s="52" t="s">
        <v>48</v>
      </c>
      <c r="W8" s="47" t="s">
        <v>63</v>
      </c>
      <c r="X8" s="51" t="s">
        <v>64</v>
      </c>
      <c r="Y8" s="51" t="s">
        <v>65</v>
      </c>
      <c r="Z8" s="51" t="s">
        <v>66</v>
      </c>
      <c r="AA8" s="56"/>
      <c r="AB8" s="56" t="s">
        <v>49</v>
      </c>
      <c r="AC8" s="58"/>
      <c r="AD8" s="47" t="s">
        <v>54</v>
      </c>
      <c r="AE8" s="47" t="s">
        <v>55</v>
      </c>
      <c r="AF8" s="50" t="s">
        <v>71</v>
      </c>
    </row>
    <row r="9" ht="36.0" customHeight="1">
      <c r="A9" s="47" t="s">
        <v>67</v>
      </c>
      <c r="B9" s="47" t="s">
        <v>69</v>
      </c>
      <c r="C9" s="47" t="s">
        <v>72</v>
      </c>
      <c r="D9" s="47" t="s">
        <v>69</v>
      </c>
      <c r="E9" s="47" t="s">
        <v>69</v>
      </c>
      <c r="F9" s="47" t="s">
        <v>74</v>
      </c>
      <c r="G9" s="49" t="s">
        <v>75</v>
      </c>
      <c r="H9" s="47" t="s">
        <v>73</v>
      </c>
      <c r="I9" s="60"/>
      <c r="J9" s="49" t="s">
        <v>76</v>
      </c>
      <c r="K9" s="49" t="s">
        <v>78</v>
      </c>
      <c r="L9" s="51" t="s">
        <v>82</v>
      </c>
      <c r="M9" s="51" t="s">
        <v>84</v>
      </c>
      <c r="N9" s="53" t="s">
        <v>87</v>
      </c>
      <c r="O9" s="47" t="s">
        <v>79</v>
      </c>
      <c r="P9" s="47" t="s">
        <v>80</v>
      </c>
      <c r="Q9" s="47" t="s">
        <v>79</v>
      </c>
      <c r="R9" s="47" t="s">
        <v>88</v>
      </c>
      <c r="S9" s="47" t="s">
        <v>79</v>
      </c>
      <c r="T9" s="47" t="s">
        <v>89</v>
      </c>
      <c r="U9" s="50" t="s">
        <v>83</v>
      </c>
      <c r="V9" s="52" t="s">
        <v>83</v>
      </c>
      <c r="W9" s="47" t="s">
        <v>85</v>
      </c>
      <c r="X9" s="51" t="s">
        <v>95</v>
      </c>
      <c r="Y9" s="51" t="s">
        <v>96</v>
      </c>
      <c r="Z9" s="51" t="s">
        <v>91</v>
      </c>
      <c r="AA9" s="51" t="s">
        <v>98</v>
      </c>
      <c r="AB9" s="51" t="s">
        <v>84</v>
      </c>
      <c r="AC9" s="53" t="s">
        <v>100</v>
      </c>
      <c r="AD9" s="47" t="s">
        <v>92</v>
      </c>
      <c r="AE9" s="47" t="s">
        <v>94</v>
      </c>
      <c r="AF9" s="50" t="s">
        <v>101</v>
      </c>
    </row>
    <row r="10" ht="39.0" customHeight="1">
      <c r="A10" s="68" t="s">
        <v>103</v>
      </c>
      <c r="B10" s="68" t="s">
        <v>105</v>
      </c>
      <c r="C10" s="71"/>
      <c r="D10" s="68" t="s">
        <v>105</v>
      </c>
      <c r="E10" s="68" t="s">
        <v>105</v>
      </c>
      <c r="F10" s="68" t="s">
        <v>108</v>
      </c>
      <c r="G10" s="71"/>
      <c r="H10" s="71"/>
      <c r="I10" s="71"/>
      <c r="J10" s="76" t="s">
        <v>109</v>
      </c>
      <c r="K10" s="71"/>
      <c r="L10" s="79"/>
      <c r="M10" s="82" t="s">
        <v>112</v>
      </c>
      <c r="N10" s="84"/>
      <c r="O10" s="68" t="s">
        <v>113</v>
      </c>
      <c r="P10" s="71"/>
      <c r="Q10" s="68" t="s">
        <v>113</v>
      </c>
      <c r="R10" s="71"/>
      <c r="S10" s="71"/>
      <c r="T10" s="71"/>
      <c r="U10" s="83" t="s">
        <v>121</v>
      </c>
      <c r="V10" s="86" t="s">
        <v>118</v>
      </c>
      <c r="W10" s="68" t="s">
        <v>120</v>
      </c>
      <c r="X10" s="82" t="s">
        <v>125</v>
      </c>
      <c r="Y10" s="82" t="s">
        <v>126</v>
      </c>
      <c r="Z10" s="82" t="s">
        <v>123</v>
      </c>
      <c r="AA10" s="79"/>
      <c r="AB10" s="82" t="s">
        <v>112</v>
      </c>
      <c r="AC10" s="84"/>
      <c r="AD10" s="71"/>
      <c r="AE10" s="68" t="s">
        <v>118</v>
      </c>
      <c r="AF10" s="83" t="s">
        <v>55</v>
      </c>
    </row>
    <row r="11" ht="30.0" customHeight="1">
      <c r="A11" s="92"/>
      <c r="B11" s="92"/>
      <c r="C11" s="92"/>
      <c r="D11" s="92"/>
      <c r="E11" s="92"/>
      <c r="F11" s="92"/>
      <c r="G11" s="92"/>
      <c r="H11" s="92"/>
      <c r="I11" s="92"/>
      <c r="J11" s="92"/>
      <c r="K11" s="92"/>
      <c r="L11" s="84"/>
      <c r="M11" s="84"/>
      <c r="N11" s="84"/>
      <c r="O11" s="92"/>
      <c r="P11" s="92"/>
      <c r="Q11" s="92"/>
      <c r="R11" s="92"/>
      <c r="S11" s="92"/>
      <c r="T11" s="92"/>
      <c r="U11" s="92"/>
      <c r="V11" s="92"/>
      <c r="W11" s="92"/>
      <c r="X11" s="84"/>
      <c r="Y11" s="84"/>
      <c r="Z11" s="84"/>
      <c r="AA11" s="84"/>
      <c r="AB11" s="84"/>
      <c r="AC11" s="84"/>
      <c r="AD11" s="92"/>
      <c r="AE11" s="92"/>
      <c r="AF11" s="84"/>
    </row>
    <row r="12" ht="30.0" customHeight="1">
      <c r="A12" s="92"/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</row>
    <row r="13" ht="30.0" customHeight="1">
      <c r="A13" s="92"/>
      <c r="B13" s="92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</row>
    <row r="14" ht="30.0" customHeight="1">
      <c r="A14" s="92"/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</row>
    <row r="15" ht="30.0" customHeight="1">
      <c r="A15" s="92"/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</row>
    <row r="16" ht="30.0" customHeight="1">
      <c r="A16" s="92"/>
      <c r="B16" s="92"/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</row>
    <row r="17" ht="30.0" customHeight="1">
      <c r="A17" s="92"/>
      <c r="B17" s="92"/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</row>
    <row r="18" ht="30.0" customHeight="1">
      <c r="A18" s="92"/>
      <c r="B18" s="92"/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</row>
    <row r="19" ht="30.0" customHeight="1">
      <c r="A19" s="92"/>
      <c r="B19" s="92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</row>
    <row r="20" ht="30.0" customHeight="1">
      <c r="A20" s="92"/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</row>
    <row r="21" ht="30.0" customHeight="1">
      <c r="A21" s="92"/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</row>
    <row r="22" ht="30.0" customHeight="1">
      <c r="A22" s="92"/>
      <c r="B22" s="92"/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</row>
    <row r="23" ht="30.0" customHeight="1">
      <c r="A23" s="77"/>
      <c r="B23" s="77"/>
      <c r="C23" s="77"/>
      <c r="D23" s="77"/>
      <c r="E23" s="77"/>
      <c r="F23" s="52" t="s">
        <v>168</v>
      </c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16"/>
      <c r="S23" s="116"/>
      <c r="T23" s="116"/>
      <c r="U23" s="116"/>
      <c r="V23" s="116"/>
      <c r="W23" s="92"/>
      <c r="X23" s="92"/>
      <c r="Y23" s="92"/>
      <c r="Z23" s="92"/>
      <c r="AA23" s="92"/>
      <c r="AB23" s="92"/>
      <c r="AC23" s="92"/>
      <c r="AD23" s="92"/>
      <c r="AE23" s="92"/>
      <c r="AF23" s="92"/>
    </row>
    <row r="24" ht="30.0" customHeight="1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</row>
    <row r="25" ht="24.75" customHeight="1">
      <c r="A25" s="118"/>
    </row>
    <row r="26" ht="24.75" customHeight="1">
      <c r="A26" s="118"/>
    </row>
    <row r="27" ht="24.75" customHeight="1">
      <c r="A27" s="118"/>
    </row>
    <row r="28" ht="24.75" customHeight="1">
      <c r="A28" s="118"/>
    </row>
    <row r="29" ht="24.75" customHeight="1">
      <c r="A29" s="118"/>
    </row>
    <row r="30" ht="24.75" customHeight="1">
      <c r="A30" s="118"/>
    </row>
    <row r="31" ht="24.75" customHeight="1"/>
    <row r="32" ht="24.75" customHeight="1"/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9.13"/>
    <col customWidth="1" min="2" max="3" width="8.75"/>
    <col customWidth="1" min="4" max="4" width="9.38"/>
    <col customWidth="1" min="5" max="6" width="8.75"/>
    <col customWidth="1" min="7" max="7" width="15.13"/>
    <col customWidth="1" min="8" max="8" width="5.88"/>
    <col customWidth="1" min="9" max="9" width="9.75"/>
    <col customWidth="1" min="10" max="10" width="5.63"/>
    <col customWidth="1" min="11" max="11" width="9.75"/>
    <col customWidth="1" min="12" max="12" width="17.88"/>
    <col customWidth="1" min="13" max="13" width="9.88"/>
    <col customWidth="1" min="14" max="19" width="11.63"/>
    <col customWidth="1" min="20" max="26" width="10.0"/>
  </cols>
  <sheetData>
    <row r="1" ht="15.75" customHeight="1">
      <c r="A1" s="5" t="s">
        <v>0</v>
      </c>
      <c r="M1" s="8"/>
      <c r="N1" s="8"/>
      <c r="O1" s="8"/>
      <c r="P1" s="8"/>
      <c r="Q1" s="8"/>
      <c r="R1" s="8"/>
      <c r="S1" s="8"/>
      <c r="T1" s="10"/>
      <c r="U1" s="10"/>
      <c r="V1" s="10"/>
      <c r="W1" s="10"/>
      <c r="X1" s="10"/>
      <c r="Y1" s="10"/>
      <c r="Z1" s="10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8"/>
      <c r="O2" s="8"/>
      <c r="P2" s="8"/>
      <c r="Q2" s="8"/>
      <c r="R2" s="8"/>
      <c r="S2" s="8"/>
      <c r="T2" s="10"/>
      <c r="U2" s="10"/>
      <c r="V2" s="10"/>
      <c r="W2" s="10"/>
      <c r="X2" s="10"/>
      <c r="Y2" s="10"/>
      <c r="Z2" s="10"/>
    </row>
    <row r="3" ht="12.75" customHeight="1">
      <c r="A3" s="18" t="s">
        <v>8</v>
      </c>
      <c r="B3" s="20"/>
      <c r="C3" s="20"/>
      <c r="D3" s="20"/>
      <c r="E3" s="20"/>
      <c r="F3" s="20"/>
      <c r="G3" s="20"/>
      <c r="H3" s="16"/>
      <c r="I3" s="16"/>
      <c r="J3" s="22"/>
      <c r="K3" s="16"/>
      <c r="L3" s="16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12.0" customHeight="1">
      <c r="A4" s="16"/>
      <c r="B4" s="20"/>
      <c r="C4" s="20"/>
      <c r="D4" s="20"/>
      <c r="E4" s="20"/>
      <c r="F4" s="20"/>
      <c r="G4" s="20"/>
      <c r="H4" s="20"/>
      <c r="I4" s="16"/>
      <c r="J4" s="16"/>
      <c r="K4" s="16"/>
      <c r="L4" s="16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12.0" customHeight="1">
      <c r="A5" s="18" t="s">
        <v>15</v>
      </c>
      <c r="B5" s="20"/>
      <c r="C5" s="20"/>
      <c r="D5" s="20"/>
      <c r="E5" s="20"/>
      <c r="F5" s="20"/>
      <c r="G5" s="20"/>
      <c r="H5" s="20"/>
      <c r="I5" s="16"/>
      <c r="J5" s="16"/>
      <c r="K5" s="16"/>
      <c r="L5" s="16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12.0" customHeight="1">
      <c r="A6" s="16"/>
      <c r="B6" s="20"/>
      <c r="C6" s="16"/>
      <c r="D6" s="16"/>
      <c r="E6" s="16"/>
      <c r="F6" s="16"/>
      <c r="G6" s="16"/>
      <c r="H6" s="16"/>
      <c r="I6" s="16"/>
      <c r="J6" s="16"/>
      <c r="K6" s="16"/>
      <c r="L6" s="16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12.0" customHeight="1">
      <c r="A7" s="18" t="s">
        <v>23</v>
      </c>
      <c r="B7" s="20"/>
      <c r="C7" s="39"/>
      <c r="D7" s="39"/>
      <c r="E7" s="39"/>
      <c r="F7" s="22"/>
      <c r="G7" s="18"/>
      <c r="H7" s="18" t="s">
        <v>26</v>
      </c>
      <c r="I7" s="16"/>
      <c r="J7" s="22"/>
      <c r="K7" s="16"/>
      <c r="L7" s="16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2.0" customHeight="1">
      <c r="A8" s="16"/>
      <c r="B8" s="20"/>
      <c r="C8" s="20"/>
      <c r="D8" s="20"/>
      <c r="E8" s="20"/>
      <c r="F8" s="22"/>
      <c r="G8" s="20"/>
      <c r="H8" s="20"/>
      <c r="I8" s="16"/>
      <c r="J8" s="16"/>
      <c r="K8" s="16"/>
      <c r="L8" s="16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2.0" customHeight="1">
      <c r="A9" s="18" t="s">
        <v>34</v>
      </c>
      <c r="B9" s="16"/>
      <c r="C9" s="16"/>
      <c r="D9" s="16"/>
      <c r="E9" s="16"/>
      <c r="F9" s="22"/>
      <c r="G9" s="22"/>
      <c r="H9" s="18" t="s">
        <v>35</v>
      </c>
      <c r="I9" s="48"/>
      <c r="J9" s="22"/>
      <c r="K9" s="16"/>
      <c r="L9" s="16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12.0" customHeight="1">
      <c r="A10" s="18"/>
      <c r="B10" s="16"/>
      <c r="C10" s="16"/>
      <c r="D10" s="16"/>
      <c r="E10" s="16"/>
      <c r="F10" s="22"/>
      <c r="G10" s="16"/>
      <c r="H10" s="16"/>
      <c r="I10" s="16"/>
      <c r="J10" s="18"/>
      <c r="K10" s="16"/>
      <c r="L10" s="16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12.0" customHeight="1">
      <c r="A11" s="18" t="s">
        <v>56</v>
      </c>
      <c r="B11" s="16"/>
      <c r="C11" s="22"/>
      <c r="D11" s="22"/>
      <c r="E11" s="22"/>
      <c r="F11" s="22"/>
      <c r="G11" s="22"/>
      <c r="H11" s="18" t="s">
        <v>62</v>
      </c>
      <c r="I11" s="20"/>
      <c r="J11" s="20"/>
      <c r="K11" s="20"/>
      <c r="L11" s="20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12.0" customHeight="1">
      <c r="A12" s="16"/>
      <c r="B12" s="16"/>
      <c r="C12" s="16"/>
      <c r="D12" s="16"/>
      <c r="E12" s="16"/>
      <c r="F12" s="16"/>
      <c r="G12" s="16"/>
      <c r="H12" s="16"/>
      <c r="I12" s="20"/>
      <c r="J12" s="20"/>
      <c r="K12" s="20"/>
      <c r="L12" s="20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12.0" customHeight="1">
      <c r="A13" s="16"/>
      <c r="B13" s="16"/>
      <c r="C13" s="16"/>
      <c r="D13" s="16"/>
      <c r="E13" s="16"/>
      <c r="F13" s="16"/>
      <c r="G13" s="16"/>
      <c r="H13" s="16"/>
      <c r="I13" s="20"/>
      <c r="J13" s="20"/>
      <c r="K13" s="20"/>
      <c r="L13" s="20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12.75" customHeight="1">
      <c r="A14" s="61" t="s">
        <v>77</v>
      </c>
      <c r="B14" s="62"/>
      <c r="C14" s="63"/>
      <c r="D14" s="61" t="s">
        <v>93</v>
      </c>
      <c r="E14" s="62"/>
      <c r="F14" s="63"/>
      <c r="G14" s="66" t="s">
        <v>99</v>
      </c>
      <c r="H14" s="69" t="s">
        <v>102</v>
      </c>
      <c r="I14" s="63"/>
      <c r="J14" s="61" t="s">
        <v>106</v>
      </c>
      <c r="K14" s="63"/>
      <c r="L14" s="73" t="s">
        <v>107</v>
      </c>
      <c r="M14" s="74"/>
      <c r="N14" s="74"/>
      <c r="O14" s="74"/>
      <c r="P14" s="74"/>
      <c r="Q14" s="74"/>
      <c r="R14" s="74"/>
      <c r="S14" s="74"/>
      <c r="T14" s="77"/>
      <c r="U14" s="77"/>
      <c r="V14" s="77"/>
      <c r="W14" s="77"/>
      <c r="X14" s="77"/>
      <c r="Y14" s="77"/>
      <c r="Z14" s="77"/>
    </row>
    <row r="15" ht="14.25" customHeight="1">
      <c r="A15" s="81" t="s">
        <v>111</v>
      </c>
      <c r="B15" s="81" t="s">
        <v>114</v>
      </c>
      <c r="C15" s="81" t="s">
        <v>115</v>
      </c>
      <c r="D15" s="81" t="s">
        <v>111</v>
      </c>
      <c r="E15" s="81" t="s">
        <v>116</v>
      </c>
      <c r="F15" s="85" t="s">
        <v>115</v>
      </c>
      <c r="G15" s="87" t="s">
        <v>119</v>
      </c>
      <c r="H15" s="88" t="s">
        <v>124</v>
      </c>
      <c r="I15" s="81" t="s">
        <v>127</v>
      </c>
      <c r="J15" s="81" t="s">
        <v>128</v>
      </c>
      <c r="K15" s="81" t="s">
        <v>127</v>
      </c>
      <c r="L15" s="81" t="s">
        <v>119</v>
      </c>
      <c r="M15" s="91"/>
      <c r="N15" s="91"/>
      <c r="O15" s="91"/>
      <c r="P15" s="91"/>
      <c r="Q15" s="91"/>
      <c r="R15" s="91"/>
      <c r="S15" s="91"/>
    </row>
    <row r="16" ht="12.75" customHeight="1">
      <c r="A16" s="93">
        <v>36986.0</v>
      </c>
      <c r="B16" s="95">
        <v>1.0</v>
      </c>
      <c r="C16" s="97" t="s">
        <v>131</v>
      </c>
      <c r="D16" s="99">
        <v>36986.0</v>
      </c>
      <c r="E16" s="100">
        <v>1.0</v>
      </c>
      <c r="F16" s="100" t="s">
        <v>135</v>
      </c>
      <c r="G16" s="102">
        <v>100.0</v>
      </c>
      <c r="H16" s="103">
        <v>2.0</v>
      </c>
      <c r="I16" s="105">
        <v>20.0</v>
      </c>
      <c r="J16" s="103"/>
      <c r="K16" s="105"/>
      <c r="L16" s="107">
        <f t="shared" ref="L16:L17" si="1">+G16+I16-K16</f>
        <v>120</v>
      </c>
      <c r="M16" s="91"/>
      <c r="N16" s="91"/>
      <c r="O16" s="91"/>
      <c r="P16" s="91"/>
      <c r="Q16" s="91"/>
      <c r="R16" s="91"/>
      <c r="S16" s="91"/>
    </row>
    <row r="17" ht="12.75" customHeight="1">
      <c r="A17" s="108">
        <v>36986.0</v>
      </c>
      <c r="B17" s="100">
        <v>1.0</v>
      </c>
      <c r="C17" s="109" t="s">
        <v>150</v>
      </c>
      <c r="D17" s="108">
        <v>36986.0</v>
      </c>
      <c r="E17" s="100">
        <v>1.0</v>
      </c>
      <c r="F17" s="100" t="s">
        <v>153</v>
      </c>
      <c r="G17" s="102">
        <f>+L16</f>
        <v>120</v>
      </c>
      <c r="H17" s="110">
        <v>2.0</v>
      </c>
      <c r="I17" s="111">
        <v>80.0</v>
      </c>
      <c r="J17" s="100"/>
      <c r="K17" s="111"/>
      <c r="L17" s="112">
        <f t="shared" si="1"/>
        <v>200</v>
      </c>
      <c r="M17" s="91"/>
      <c r="N17" s="91"/>
      <c r="O17" s="91"/>
      <c r="P17" s="91"/>
      <c r="Q17" s="91"/>
      <c r="R17" s="91"/>
      <c r="S17" s="91"/>
    </row>
    <row r="18" ht="12.75" customHeight="1">
      <c r="A18" s="113"/>
      <c r="B18" s="100"/>
      <c r="C18" s="109"/>
      <c r="D18" s="100"/>
      <c r="E18" s="100"/>
      <c r="F18" s="100"/>
      <c r="G18" s="100"/>
      <c r="H18" s="110"/>
      <c r="I18" s="100"/>
      <c r="J18" s="109"/>
      <c r="K18" s="102"/>
      <c r="L18" s="112"/>
      <c r="M18" s="91"/>
      <c r="N18" s="91"/>
      <c r="O18" s="91"/>
      <c r="P18" s="91"/>
      <c r="Q18" s="91"/>
      <c r="R18" s="91"/>
      <c r="S18" s="91"/>
    </row>
    <row r="19" ht="12.75" customHeight="1">
      <c r="A19" s="113"/>
      <c r="B19" s="100"/>
      <c r="C19" s="109"/>
      <c r="D19" s="100"/>
      <c r="E19" s="100"/>
      <c r="F19" s="100"/>
      <c r="G19" s="100"/>
      <c r="H19" s="110"/>
      <c r="I19" s="100"/>
      <c r="J19" s="109"/>
      <c r="K19" s="102"/>
      <c r="L19" s="112"/>
      <c r="M19" s="91"/>
      <c r="N19" s="91"/>
      <c r="O19" s="91"/>
      <c r="P19" s="91"/>
      <c r="Q19" s="91"/>
      <c r="R19" s="91"/>
      <c r="S19" s="91"/>
    </row>
    <row r="20" ht="12.75" customHeight="1">
      <c r="A20" s="113"/>
      <c r="B20" s="100"/>
      <c r="C20" s="109"/>
      <c r="D20" s="100"/>
      <c r="E20" s="100"/>
      <c r="F20" s="100"/>
      <c r="G20" s="100"/>
      <c r="H20" s="110"/>
      <c r="I20" s="100"/>
      <c r="J20" s="109"/>
      <c r="K20" s="102"/>
      <c r="L20" s="112"/>
      <c r="M20" s="91"/>
      <c r="N20" s="91"/>
      <c r="O20" s="91"/>
      <c r="P20" s="91"/>
      <c r="Q20" s="91"/>
      <c r="R20" s="91"/>
      <c r="S20" s="91"/>
    </row>
    <row r="21" ht="12.75" customHeight="1">
      <c r="A21" s="113"/>
      <c r="B21" s="100"/>
      <c r="C21" s="109"/>
      <c r="D21" s="100"/>
      <c r="E21" s="100"/>
      <c r="F21" s="100"/>
      <c r="G21" s="100"/>
      <c r="H21" s="110"/>
      <c r="I21" s="100"/>
      <c r="J21" s="109"/>
      <c r="K21" s="102"/>
      <c r="L21" s="112"/>
      <c r="M21" s="91"/>
      <c r="N21" s="91"/>
      <c r="O21" s="91"/>
      <c r="P21" s="91"/>
      <c r="Q21" s="91"/>
      <c r="R21" s="91"/>
      <c r="S21" s="91"/>
    </row>
    <row r="22" ht="12.75" customHeight="1">
      <c r="A22" s="113"/>
      <c r="B22" s="100"/>
      <c r="C22" s="109"/>
      <c r="D22" s="100"/>
      <c r="E22" s="100"/>
      <c r="F22" s="100"/>
      <c r="G22" s="100"/>
      <c r="H22" s="110"/>
      <c r="I22" s="100"/>
      <c r="J22" s="109"/>
      <c r="K22" s="102"/>
      <c r="L22" s="112"/>
      <c r="M22" s="91"/>
      <c r="N22" s="91"/>
      <c r="O22" s="91"/>
      <c r="P22" s="91"/>
      <c r="Q22" s="91"/>
      <c r="R22" s="91"/>
      <c r="S22" s="91"/>
    </row>
    <row r="23" ht="12.75" customHeight="1">
      <c r="A23" s="113"/>
      <c r="B23" s="100"/>
      <c r="C23" s="109"/>
      <c r="D23" s="100"/>
      <c r="E23" s="100"/>
      <c r="F23" s="100"/>
      <c r="G23" s="100"/>
      <c r="H23" s="110"/>
      <c r="I23" s="100"/>
      <c r="J23" s="109"/>
      <c r="K23" s="102"/>
      <c r="L23" s="112"/>
      <c r="M23" s="91"/>
      <c r="N23" s="91"/>
      <c r="O23" s="91"/>
      <c r="P23" s="91"/>
      <c r="Q23" s="91"/>
      <c r="R23" s="91"/>
      <c r="S23" s="91"/>
    </row>
    <row r="24" ht="12.75" customHeight="1">
      <c r="A24" s="113"/>
      <c r="B24" s="100"/>
      <c r="C24" s="109"/>
      <c r="D24" s="100"/>
      <c r="E24" s="100"/>
      <c r="F24" s="100"/>
      <c r="G24" s="100"/>
      <c r="H24" s="110"/>
      <c r="I24" s="100"/>
      <c r="J24" s="109"/>
      <c r="K24" s="102"/>
      <c r="L24" s="112"/>
      <c r="M24" s="91"/>
      <c r="N24" s="91"/>
      <c r="O24" s="91"/>
      <c r="P24" s="91"/>
      <c r="Q24" s="91"/>
      <c r="R24" s="91"/>
      <c r="S24" s="91"/>
    </row>
    <row r="25" ht="12.75" customHeight="1">
      <c r="A25" s="113"/>
      <c r="B25" s="100"/>
      <c r="C25" s="109"/>
      <c r="D25" s="100"/>
      <c r="E25" s="100"/>
      <c r="F25" s="100"/>
      <c r="G25" s="100"/>
      <c r="H25" s="110"/>
      <c r="I25" s="100"/>
      <c r="J25" s="109"/>
      <c r="K25" s="102"/>
      <c r="L25" s="112"/>
      <c r="M25" s="91"/>
      <c r="N25" s="91"/>
      <c r="O25" s="91"/>
      <c r="P25" s="91"/>
      <c r="Q25" s="91"/>
      <c r="R25" s="91"/>
      <c r="S25" s="91"/>
    </row>
    <row r="26" ht="12.75" customHeight="1">
      <c r="A26" s="119"/>
      <c r="B26" s="102"/>
      <c r="C26" s="120"/>
      <c r="D26" s="102"/>
      <c r="E26" s="102"/>
      <c r="F26" s="102"/>
      <c r="G26" s="102"/>
      <c r="H26" s="112"/>
      <c r="I26" s="102"/>
      <c r="J26" s="120"/>
      <c r="K26" s="102"/>
      <c r="L26" s="112"/>
      <c r="M26" s="91"/>
      <c r="N26" s="91"/>
      <c r="O26" s="91"/>
      <c r="P26" s="91"/>
      <c r="Q26" s="91"/>
      <c r="R26" s="91"/>
      <c r="S26" s="91"/>
    </row>
    <row r="27" ht="12.75" customHeight="1">
      <c r="A27" s="123"/>
      <c r="B27" s="124"/>
      <c r="C27" s="124"/>
      <c r="D27" s="124"/>
      <c r="E27" s="126" t="s">
        <v>189</v>
      </c>
      <c r="F27" s="124"/>
      <c r="G27" s="129">
        <f>G16</f>
        <v>100</v>
      </c>
      <c r="H27" s="129"/>
      <c r="I27" s="129">
        <f>I16+I17</f>
        <v>100</v>
      </c>
      <c r="J27" s="129"/>
      <c r="K27" s="129"/>
      <c r="L27" s="129">
        <f>L17</f>
        <v>200</v>
      </c>
      <c r="M27" s="91"/>
      <c r="N27" s="91"/>
      <c r="O27" s="91"/>
      <c r="P27" s="91"/>
      <c r="Q27" s="91"/>
      <c r="R27" s="91"/>
      <c r="S27" s="91"/>
    </row>
    <row r="28" ht="12.75" customHeight="1">
      <c r="A28" s="120"/>
      <c r="B28" s="120"/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91"/>
      <c r="N28" s="91"/>
      <c r="O28" s="91"/>
      <c r="P28" s="91"/>
      <c r="Q28" s="91"/>
      <c r="R28" s="91"/>
      <c r="S28" s="91"/>
    </row>
    <row r="29" ht="12.75" customHeight="1">
      <c r="A29" s="130" t="s">
        <v>195</v>
      </c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</row>
    <row r="30" ht="12.75" customHeight="1">
      <c r="A30" s="130"/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</row>
    <row r="31" ht="12.75" customHeight="1">
      <c r="A31" s="131" t="s">
        <v>204</v>
      </c>
      <c r="B31" s="132"/>
      <c r="C31" s="132"/>
      <c r="D31" s="132"/>
      <c r="E31" s="107"/>
      <c r="F31" s="120"/>
      <c r="G31" s="91"/>
      <c r="H31" s="91"/>
      <c r="I31" s="131" t="s">
        <v>205</v>
      </c>
      <c r="J31" s="133"/>
      <c r="K31" s="133"/>
      <c r="L31" s="134"/>
      <c r="M31" s="91"/>
      <c r="N31" s="91"/>
      <c r="O31" s="91"/>
      <c r="P31" s="91"/>
      <c r="Q31" s="91"/>
      <c r="R31" s="91"/>
      <c r="S31" s="91"/>
    </row>
    <row r="32" ht="12.75" customHeight="1">
      <c r="A32" s="119">
        <v>1.0</v>
      </c>
      <c r="B32" s="120" t="s">
        <v>209</v>
      </c>
      <c r="C32" s="120">
        <v>7.0</v>
      </c>
      <c r="D32" s="120" t="s">
        <v>210</v>
      </c>
      <c r="E32" s="112"/>
      <c r="F32" s="120"/>
      <c r="G32" s="91"/>
      <c r="H32" s="91"/>
      <c r="I32" s="119" t="s">
        <v>213</v>
      </c>
      <c r="J32" s="120"/>
      <c r="K32" s="120"/>
      <c r="L32" s="135"/>
      <c r="M32" s="91"/>
      <c r="N32" s="91"/>
      <c r="O32" s="91"/>
      <c r="P32" s="91"/>
      <c r="Q32" s="91"/>
      <c r="R32" s="91"/>
      <c r="S32" s="91"/>
    </row>
    <row r="33" ht="12.75" customHeight="1">
      <c r="A33" s="119">
        <v>2.0</v>
      </c>
      <c r="B33" s="120" t="s">
        <v>218</v>
      </c>
      <c r="C33" s="120">
        <v>8.0</v>
      </c>
      <c r="D33" s="120" t="s">
        <v>219</v>
      </c>
      <c r="E33" s="112"/>
      <c r="F33" s="120"/>
      <c r="G33" s="91"/>
      <c r="H33" s="91"/>
      <c r="I33" s="119" t="s">
        <v>220</v>
      </c>
      <c r="J33" s="91"/>
      <c r="K33" s="91"/>
      <c r="L33" s="135"/>
      <c r="M33" s="91"/>
      <c r="N33" s="91"/>
      <c r="O33" s="91"/>
      <c r="P33" s="91"/>
      <c r="Q33" s="91"/>
      <c r="R33" s="91"/>
      <c r="S33" s="91"/>
    </row>
    <row r="34" ht="12.75" customHeight="1">
      <c r="A34" s="119">
        <v>3.0</v>
      </c>
      <c r="B34" s="120" t="s">
        <v>221</v>
      </c>
      <c r="C34" s="120"/>
      <c r="D34" s="120"/>
      <c r="E34" s="112"/>
      <c r="F34" s="120"/>
      <c r="G34" s="91"/>
      <c r="H34" s="91"/>
      <c r="I34" s="119" t="s">
        <v>222</v>
      </c>
      <c r="J34" s="91"/>
      <c r="K34" s="91"/>
      <c r="L34" s="135"/>
      <c r="M34" s="91"/>
      <c r="N34" s="91"/>
      <c r="O34" s="91"/>
      <c r="P34" s="91"/>
      <c r="Q34" s="91"/>
      <c r="R34" s="91"/>
      <c r="S34" s="91"/>
    </row>
    <row r="35" ht="12.75" customHeight="1">
      <c r="A35" s="119">
        <v>4.0</v>
      </c>
      <c r="B35" s="120" t="s">
        <v>223</v>
      </c>
      <c r="C35" s="120"/>
      <c r="D35" s="120"/>
      <c r="E35" s="112"/>
      <c r="F35" s="120"/>
      <c r="G35" s="91"/>
      <c r="H35" s="91"/>
      <c r="I35" s="119" t="s">
        <v>225</v>
      </c>
      <c r="J35" s="91"/>
      <c r="K35" s="91"/>
      <c r="L35" s="135"/>
      <c r="M35" s="91"/>
      <c r="N35" s="91"/>
      <c r="O35" s="91"/>
      <c r="P35" s="91"/>
      <c r="Q35" s="91"/>
      <c r="R35" s="91"/>
      <c r="S35" s="91"/>
    </row>
    <row r="36" ht="12.75" customHeight="1">
      <c r="A36" s="119">
        <v>5.0</v>
      </c>
      <c r="B36" s="120" t="s">
        <v>226</v>
      </c>
      <c r="C36" s="91"/>
      <c r="D36" s="91"/>
      <c r="E36" s="135"/>
      <c r="F36" s="91"/>
      <c r="G36" s="91"/>
      <c r="H36" s="91"/>
      <c r="I36" s="140" t="s">
        <v>227</v>
      </c>
      <c r="J36" s="91"/>
      <c r="K36" s="91"/>
      <c r="L36" s="135"/>
      <c r="M36" s="91"/>
      <c r="N36" s="91"/>
      <c r="O36" s="91"/>
      <c r="P36" s="91"/>
      <c r="Q36" s="91"/>
      <c r="R36" s="91"/>
      <c r="S36" s="91"/>
    </row>
    <row r="37" ht="12.75" customHeight="1">
      <c r="A37" s="119">
        <v>6.0</v>
      </c>
      <c r="B37" s="120" t="s">
        <v>228</v>
      </c>
      <c r="C37" s="91"/>
      <c r="D37" s="91"/>
      <c r="E37" s="135"/>
      <c r="F37" s="91"/>
      <c r="G37" s="91"/>
      <c r="H37" s="91"/>
      <c r="I37" s="119" t="s">
        <v>229</v>
      </c>
      <c r="J37" s="91"/>
      <c r="K37" s="91"/>
      <c r="L37" s="135"/>
      <c r="M37" s="91"/>
      <c r="N37" s="91"/>
      <c r="O37" s="91"/>
      <c r="P37" s="91"/>
      <c r="Q37" s="91"/>
      <c r="R37" s="91"/>
      <c r="S37" s="91"/>
    </row>
    <row r="38" ht="12.75" customHeight="1">
      <c r="A38" s="143"/>
      <c r="B38" s="144"/>
      <c r="C38" s="144"/>
      <c r="D38" s="144"/>
      <c r="E38" s="145"/>
      <c r="F38" s="91"/>
      <c r="G38" s="91"/>
      <c r="H38" s="91"/>
      <c r="I38" s="146" t="s">
        <v>233</v>
      </c>
      <c r="J38" s="144"/>
      <c r="K38" s="144"/>
      <c r="L38" s="145"/>
      <c r="M38" s="91"/>
      <c r="N38" s="91"/>
      <c r="O38" s="91"/>
      <c r="P38" s="91"/>
      <c r="Q38" s="91"/>
      <c r="R38" s="91"/>
      <c r="S38" s="91"/>
    </row>
    <row r="39" ht="12.75" customHeight="1">
      <c r="A39" s="91"/>
      <c r="B39" s="91"/>
      <c r="C39" s="91"/>
      <c r="D39" s="91"/>
      <c r="E39" s="91"/>
      <c r="F39" s="91"/>
      <c r="G39" s="91"/>
      <c r="H39" s="91"/>
      <c r="I39" s="120"/>
      <c r="J39" s="91"/>
      <c r="K39" s="91"/>
      <c r="L39" s="91"/>
      <c r="M39" s="91"/>
      <c r="N39" s="91"/>
      <c r="O39" s="91"/>
      <c r="P39" s="91"/>
      <c r="Q39" s="91"/>
      <c r="R39" s="91"/>
      <c r="S39" s="91"/>
    </row>
    <row r="40" ht="12.75" customHeight="1">
      <c r="A40" s="120" t="s">
        <v>238</v>
      </c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</row>
    <row r="41" ht="12.75" customHeight="1">
      <c r="A41" s="91"/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</row>
    <row r="42" ht="12.75" customHeight="1">
      <c r="A42" s="91"/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</row>
    <row r="43" ht="12.75" customHeight="1">
      <c r="A43" s="91"/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</row>
    <row r="44" ht="12.75" customHeight="1">
      <c r="A44" s="91"/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</row>
    <row r="45" ht="12.75" customHeight="1">
      <c r="A45" s="91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</row>
    <row r="46" ht="12.75" customHeight="1">
      <c r="A46" s="91"/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</row>
    <row r="47" ht="12.75" customHeight="1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</row>
    <row r="48" ht="12.75" customHeight="1">
      <c r="A48" s="91"/>
      <c r="B48" s="91"/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</row>
    <row r="49" ht="12.75" customHeight="1">
      <c r="A49" s="91"/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</row>
    <row r="50" ht="12.75" customHeight="1">
      <c r="A50" s="91"/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</row>
    <row r="51" ht="12.75" customHeight="1">
      <c r="A51" s="91"/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</row>
    <row r="52" ht="12.75" customHeight="1">
      <c r="A52" s="91"/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</row>
    <row r="53" ht="12.75" customHeight="1">
      <c r="A53" s="91"/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</row>
    <row r="54" ht="12.75" customHeight="1">
      <c r="A54" s="91"/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</row>
    <row r="55" ht="12.75" customHeight="1">
      <c r="A55" s="91"/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</row>
    <row r="56" ht="12.75" customHeight="1">
      <c r="A56" s="91"/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</row>
    <row r="57" ht="12.75" customHeight="1">
      <c r="A57" s="91"/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</row>
    <row r="58" ht="12.75" customHeight="1">
      <c r="A58" s="91"/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</row>
    <row r="59" ht="12.75" customHeight="1">
      <c r="A59" s="91"/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</row>
    <row r="60" ht="12.75" customHeight="1">
      <c r="A60" s="91"/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</row>
    <row r="61" ht="12.75" customHeight="1">
      <c r="A61" s="91"/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</row>
    <row r="62" ht="12.75" customHeight="1">
      <c r="A62" s="91"/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</row>
    <row r="63" ht="12.75" customHeight="1">
      <c r="A63" s="91"/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</row>
    <row r="64" ht="12.75" customHeight="1">
      <c r="A64" s="91"/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</row>
    <row r="65" ht="12.75" customHeight="1">
      <c r="A65" s="91"/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</row>
    <row r="66" ht="12.75" customHeight="1">
      <c r="A66" s="91"/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</row>
    <row r="67" ht="12.75" customHeight="1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</row>
    <row r="68" ht="12.75" customHeight="1">
      <c r="A68" s="91"/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</row>
    <row r="69" ht="12.75" customHeight="1">
      <c r="A69" s="91"/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</row>
    <row r="70" ht="12.75" customHeight="1">
      <c r="A70" s="91"/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</row>
    <row r="71" ht="12.75" customHeight="1">
      <c r="A71" s="91"/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</row>
    <row r="72" ht="12.75" customHeight="1">
      <c r="A72" s="91"/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</row>
    <row r="73" ht="12.75" customHeight="1">
      <c r="A73" s="91"/>
      <c r="B73" s="91"/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</row>
    <row r="74" ht="12.75" customHeight="1">
      <c r="A74" s="91"/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</row>
    <row r="75" ht="12.75" customHeight="1">
      <c r="A75" s="91"/>
      <c r="B75" s="91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</row>
    <row r="76" ht="12.75" customHeight="1">
      <c r="A76" s="91"/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</row>
    <row r="77" ht="12.75" customHeight="1">
      <c r="A77" s="91"/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</row>
    <row r="78" ht="12.75" customHeight="1">
      <c r="A78" s="91"/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</row>
    <row r="79" ht="12.75" customHeight="1">
      <c r="A79" s="91"/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</row>
    <row r="80" ht="12.75" customHeight="1">
      <c r="A80" s="91"/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</row>
    <row r="81" ht="12.75" customHeight="1">
      <c r="A81" s="91"/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</row>
    <row r="82" ht="12.75" customHeight="1">
      <c r="A82" s="91"/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</row>
    <row r="83" ht="12.75" customHeight="1">
      <c r="A83" s="91"/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</row>
    <row r="84" ht="12.75" customHeight="1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</row>
    <row r="85" ht="12.75" customHeight="1">
      <c r="A85" s="91"/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</row>
    <row r="86" ht="12.75" customHeight="1">
      <c r="A86" s="91"/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</row>
    <row r="87" ht="12.75" customHeight="1">
      <c r="A87" s="91"/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</row>
    <row r="88" ht="12.75" customHeight="1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</row>
    <row r="89" ht="12.75" customHeight="1">
      <c r="A89" s="91"/>
      <c r="B89" s="91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</row>
    <row r="90" ht="12.75" customHeight="1">
      <c r="A90" s="91"/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</row>
    <row r="91" ht="12.75" customHeight="1">
      <c r="A91" s="91"/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</row>
    <row r="92" ht="12.75" customHeight="1">
      <c r="A92" s="91"/>
      <c r="B92" s="91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</row>
    <row r="93" ht="12.75" customHeight="1">
      <c r="A93" s="91"/>
      <c r="B93" s="91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</row>
    <row r="94" ht="12.75" customHeight="1">
      <c r="A94" s="91"/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</row>
    <row r="95" ht="12.75" customHeight="1">
      <c r="A95" s="91"/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</row>
    <row r="96" ht="12.75" customHeight="1">
      <c r="A96" s="91"/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</row>
    <row r="97" ht="12.75" customHeight="1">
      <c r="A97" s="91"/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</row>
    <row r="98" ht="12.75" customHeight="1">
      <c r="A98" s="91"/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</row>
    <row r="99" ht="12.75" customHeight="1">
      <c r="A99" s="91"/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</row>
    <row r="100" ht="12.75" customHeight="1">
      <c r="A100" s="91"/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</row>
    <row r="101" ht="12.75" customHeight="1">
      <c r="A101" s="91"/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</row>
    <row r="102" ht="12.75" customHeight="1">
      <c r="A102" s="91"/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</row>
    <row r="103" ht="12.75" customHeight="1">
      <c r="A103" s="91"/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</row>
    <row r="104" ht="12.75" customHeight="1">
      <c r="A104" s="91"/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</row>
    <row r="105" ht="12.75" customHeight="1">
      <c r="A105" s="91"/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</row>
    <row r="106" ht="12.75" customHeight="1">
      <c r="A106" s="91"/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</row>
    <row r="107" ht="12.75" customHeight="1">
      <c r="A107" s="91"/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</row>
    <row r="108" ht="12.75" customHeight="1">
      <c r="A108" s="91"/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</row>
    <row r="109" ht="12.75" customHeight="1">
      <c r="A109" s="91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</row>
    <row r="110" ht="12.75" customHeight="1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</row>
    <row r="111" ht="12.75" customHeight="1">
      <c r="A111" s="91"/>
      <c r="B111" s="91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</row>
    <row r="112" ht="12.75" customHeight="1">
      <c r="A112" s="91"/>
      <c r="B112" s="91"/>
      <c r="C112" s="91"/>
      <c r="D112" s="91"/>
      <c r="E112" s="91"/>
      <c r="F112" s="91"/>
      <c r="G112" s="91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</row>
    <row r="113" ht="12.75" customHeight="1">
      <c r="A113" s="91"/>
      <c r="B113" s="91"/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</row>
    <row r="114" ht="12.75" customHeight="1">
      <c r="A114" s="91"/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</row>
    <row r="115" ht="12.75" customHeight="1">
      <c r="A115" s="91"/>
      <c r="B115" s="91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</row>
    <row r="116" ht="12.75" customHeight="1">
      <c r="A116" s="91"/>
      <c r="B116" s="91"/>
      <c r="C116" s="91"/>
      <c r="D116" s="91"/>
      <c r="E116" s="91"/>
      <c r="F116" s="91"/>
      <c r="G116" s="91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</row>
    <row r="117" ht="12.75" customHeight="1">
      <c r="A117" s="91"/>
      <c r="B117" s="91"/>
      <c r="C117" s="91"/>
      <c r="D117" s="91"/>
      <c r="E117" s="91"/>
      <c r="F117" s="91"/>
      <c r="G117" s="91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</row>
    <row r="118" ht="12.75" customHeight="1">
      <c r="A118" s="91"/>
      <c r="B118" s="91"/>
      <c r="C118" s="91"/>
      <c r="D118" s="91"/>
      <c r="E118" s="91"/>
      <c r="F118" s="91"/>
      <c r="G118" s="91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</row>
    <row r="119" ht="12.75" customHeight="1">
      <c r="A119" s="91"/>
      <c r="B119" s="91"/>
      <c r="C119" s="91"/>
      <c r="D119" s="91"/>
      <c r="E119" s="91"/>
      <c r="F119" s="91"/>
      <c r="G119" s="91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</row>
    <row r="120" ht="12.75" customHeight="1">
      <c r="A120" s="91"/>
      <c r="B120" s="91"/>
      <c r="C120" s="91"/>
      <c r="D120" s="91"/>
      <c r="E120" s="91"/>
      <c r="F120" s="91"/>
      <c r="G120" s="91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</row>
    <row r="121" ht="12.75" customHeight="1">
      <c r="A121" s="91"/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</row>
    <row r="122" ht="12.75" customHeight="1">
      <c r="A122" s="91"/>
      <c r="B122" s="91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</row>
    <row r="123" ht="12.75" customHeight="1">
      <c r="A123" s="91"/>
      <c r="B123" s="91"/>
      <c r="C123" s="91"/>
      <c r="D123" s="91"/>
      <c r="E123" s="91"/>
      <c r="F123" s="91"/>
      <c r="G123" s="91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</row>
    <row r="124" ht="12.75" customHeight="1">
      <c r="A124" s="91"/>
      <c r="B124" s="91"/>
      <c r="C124" s="91"/>
      <c r="D124" s="91"/>
      <c r="E124" s="91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</row>
    <row r="125" ht="12.75" customHeight="1">
      <c r="A125" s="91"/>
      <c r="B125" s="91"/>
      <c r="C125" s="91"/>
      <c r="D125" s="91"/>
      <c r="E125" s="91"/>
      <c r="F125" s="91"/>
      <c r="G125" s="91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</row>
    <row r="126" ht="12.75" customHeight="1">
      <c r="A126" s="91"/>
      <c r="B126" s="91"/>
      <c r="C126" s="91"/>
      <c r="D126" s="91"/>
      <c r="E126" s="91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</row>
    <row r="127" ht="12.75" customHeight="1">
      <c r="A127" s="91"/>
      <c r="B127" s="91"/>
      <c r="C127" s="91"/>
      <c r="D127" s="91"/>
      <c r="E127" s="91"/>
      <c r="F127" s="91"/>
      <c r="G127" s="91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</row>
    <row r="128" ht="12.75" customHeight="1">
      <c r="A128" s="91"/>
      <c r="B128" s="91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</row>
    <row r="129" ht="12.75" customHeight="1">
      <c r="A129" s="91"/>
      <c r="B129" s="91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</row>
    <row r="130" ht="12.75" customHeight="1">
      <c r="A130" s="91"/>
      <c r="B130" s="91"/>
      <c r="C130" s="91"/>
      <c r="D130" s="91"/>
      <c r="E130" s="91"/>
      <c r="F130" s="91"/>
      <c r="G130" s="91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</row>
    <row r="131" ht="12.75" customHeight="1">
      <c r="A131" s="91"/>
      <c r="B131" s="91"/>
      <c r="C131" s="91"/>
      <c r="D131" s="91"/>
      <c r="E131" s="91"/>
      <c r="F131" s="91"/>
      <c r="G131" s="91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</row>
    <row r="132" ht="12.75" customHeight="1">
      <c r="A132" s="91"/>
      <c r="B132" s="91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</row>
    <row r="133" ht="12.75" customHeight="1">
      <c r="A133" s="91"/>
      <c r="B133" s="91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</row>
    <row r="134" ht="12.75" customHeight="1">
      <c r="A134" s="91"/>
      <c r="B134" s="91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</row>
    <row r="135" ht="12.75" customHeight="1">
      <c r="A135" s="91"/>
      <c r="B135" s="91"/>
      <c r="C135" s="91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</row>
    <row r="136" ht="12.75" customHeight="1">
      <c r="A136" s="91"/>
      <c r="B136" s="91"/>
      <c r="C136" s="91"/>
      <c r="D136" s="91"/>
      <c r="E136" s="91"/>
      <c r="F136" s="91"/>
      <c r="G136" s="91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</row>
    <row r="137" ht="12.75" customHeight="1">
      <c r="A137" s="91"/>
      <c r="B137" s="91"/>
      <c r="C137" s="91"/>
      <c r="D137" s="91"/>
      <c r="E137" s="91"/>
      <c r="F137" s="91"/>
      <c r="G137" s="91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</row>
    <row r="138" ht="12.75" customHeight="1">
      <c r="A138" s="91"/>
      <c r="B138" s="91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</row>
    <row r="139" ht="12.75" customHeight="1">
      <c r="A139" s="91"/>
      <c r="B139" s="91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</row>
    <row r="140" ht="12.75" customHeight="1">
      <c r="A140" s="91"/>
      <c r="B140" s="91"/>
      <c r="C140" s="91"/>
      <c r="D140" s="91"/>
      <c r="E140" s="91"/>
      <c r="F140" s="91"/>
      <c r="G140" s="91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</row>
    <row r="141" ht="12.75" customHeight="1">
      <c r="A141" s="91"/>
      <c r="B141" s="91"/>
      <c r="C141" s="91"/>
      <c r="D141" s="91"/>
      <c r="E141" s="91"/>
      <c r="F141" s="91"/>
      <c r="G141" s="91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</row>
    <row r="142" ht="12.75" customHeight="1">
      <c r="A142" s="91"/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</row>
    <row r="143" ht="12.75" customHeight="1">
      <c r="A143" s="91"/>
      <c r="B143" s="91"/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</row>
    <row r="144" ht="12.75" customHeight="1">
      <c r="A144" s="91"/>
      <c r="B144" s="91"/>
      <c r="C144" s="91"/>
      <c r="D144" s="91"/>
      <c r="E144" s="91"/>
      <c r="F144" s="91"/>
      <c r="G144" s="91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</row>
    <row r="145" ht="12.75" customHeight="1">
      <c r="A145" s="91"/>
      <c r="B145" s="91"/>
      <c r="C145" s="91"/>
      <c r="D145" s="91"/>
      <c r="E145" s="91"/>
      <c r="F145" s="91"/>
      <c r="G145" s="91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</row>
    <row r="146" ht="12.75" customHeight="1">
      <c r="A146" s="91"/>
      <c r="B146" s="91"/>
      <c r="C146" s="91"/>
      <c r="D146" s="91"/>
      <c r="E146" s="91"/>
      <c r="F146" s="91"/>
      <c r="G146" s="91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</row>
    <row r="147" ht="12.75" customHeight="1">
      <c r="A147" s="91"/>
      <c r="B147" s="91"/>
      <c r="C147" s="91"/>
      <c r="D147" s="91"/>
      <c r="E147" s="91"/>
      <c r="F147" s="91"/>
      <c r="G147" s="91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</row>
    <row r="148" ht="12.75" customHeight="1">
      <c r="A148" s="91"/>
      <c r="B148" s="91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</row>
    <row r="149" ht="12.75" customHeight="1">
      <c r="A149" s="91"/>
      <c r="B149" s="91"/>
      <c r="C149" s="91"/>
      <c r="D149" s="91"/>
      <c r="E149" s="91"/>
      <c r="F149" s="91"/>
      <c r="G149" s="91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</row>
    <row r="150" ht="12.75" customHeight="1">
      <c r="A150" s="91"/>
      <c r="B150" s="91"/>
      <c r="C150" s="91"/>
      <c r="D150" s="91"/>
      <c r="E150" s="91"/>
      <c r="F150" s="91"/>
      <c r="G150" s="91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</row>
    <row r="151" ht="12.75" customHeight="1">
      <c r="A151" s="91"/>
      <c r="B151" s="91"/>
      <c r="C151" s="91"/>
      <c r="D151" s="91"/>
      <c r="E151" s="91"/>
      <c r="F151" s="91"/>
      <c r="G151" s="91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</row>
    <row r="152" ht="12.75" customHeight="1">
      <c r="A152" s="91"/>
      <c r="B152" s="91"/>
      <c r="C152" s="91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</row>
    <row r="153" ht="12.75" customHeight="1">
      <c r="A153" s="91"/>
      <c r="B153" s="91"/>
      <c r="C153" s="91"/>
      <c r="D153" s="91"/>
      <c r="E153" s="91"/>
      <c r="F153" s="91"/>
      <c r="G153" s="91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</row>
    <row r="154" ht="12.75" customHeight="1">
      <c r="A154" s="91"/>
      <c r="B154" s="91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</row>
    <row r="155" ht="12.75" customHeight="1">
      <c r="A155" s="91"/>
      <c r="B155" s="91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</row>
    <row r="156" ht="12.75" customHeight="1">
      <c r="A156" s="91"/>
      <c r="B156" s="91"/>
      <c r="C156" s="91"/>
      <c r="D156" s="91"/>
      <c r="E156" s="91"/>
      <c r="F156" s="91"/>
      <c r="G156" s="91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</row>
    <row r="157" ht="12.75" customHeight="1">
      <c r="A157" s="91"/>
      <c r="B157" s="91"/>
      <c r="C157" s="91"/>
      <c r="D157" s="91"/>
      <c r="E157" s="91"/>
      <c r="F157" s="91"/>
      <c r="G157" s="91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</row>
    <row r="158" ht="12.75" customHeight="1">
      <c r="A158" s="91"/>
      <c r="B158" s="91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</row>
    <row r="159" ht="12.75" customHeight="1">
      <c r="A159" s="91"/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</row>
    <row r="160" ht="12.75" customHeight="1">
      <c r="A160" s="91"/>
      <c r="B160" s="91"/>
      <c r="C160" s="91"/>
      <c r="D160" s="91"/>
      <c r="E160" s="91"/>
      <c r="F160" s="91"/>
      <c r="G160" s="91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</row>
    <row r="161" ht="12.75" customHeight="1">
      <c r="A161" s="91"/>
      <c r="B161" s="91"/>
      <c r="C161" s="91"/>
      <c r="D161" s="91"/>
      <c r="E161" s="91"/>
      <c r="F161" s="91"/>
      <c r="G161" s="91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</row>
    <row r="162" ht="12.75" customHeight="1">
      <c r="A162" s="91"/>
      <c r="B162" s="91"/>
      <c r="C162" s="91"/>
      <c r="D162" s="91"/>
      <c r="E162" s="91"/>
      <c r="F162" s="91"/>
      <c r="G162" s="91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</row>
    <row r="163" ht="12.75" customHeight="1">
      <c r="A163" s="91"/>
      <c r="B163" s="91"/>
      <c r="C163" s="91"/>
      <c r="D163" s="91"/>
      <c r="E163" s="91"/>
      <c r="F163" s="91"/>
      <c r="G163" s="91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</row>
    <row r="164" ht="12.75" customHeight="1">
      <c r="A164" s="91"/>
      <c r="B164" s="91"/>
      <c r="C164" s="91"/>
      <c r="D164" s="91"/>
      <c r="E164" s="91"/>
      <c r="F164" s="91"/>
      <c r="G164" s="91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</row>
    <row r="165" ht="12.75" customHeight="1">
      <c r="A165" s="91"/>
      <c r="B165" s="91"/>
      <c r="C165" s="91"/>
      <c r="D165" s="91"/>
      <c r="E165" s="91"/>
      <c r="F165" s="91"/>
      <c r="G165" s="91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</row>
    <row r="166" ht="12.75" customHeight="1">
      <c r="A166" s="91"/>
      <c r="B166" s="91"/>
      <c r="C166" s="91"/>
      <c r="D166" s="91"/>
      <c r="E166" s="91"/>
      <c r="F166" s="91"/>
      <c r="G166" s="91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</row>
    <row r="167" ht="12.75" customHeight="1">
      <c r="A167" s="91"/>
      <c r="B167" s="91"/>
      <c r="C167" s="91"/>
      <c r="D167" s="91"/>
      <c r="E167" s="91"/>
      <c r="F167" s="91"/>
      <c r="G167" s="91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</row>
    <row r="168" ht="12.75" customHeight="1">
      <c r="A168" s="91"/>
      <c r="B168" s="91"/>
      <c r="C168" s="91"/>
      <c r="D168" s="91"/>
      <c r="E168" s="91"/>
      <c r="F168" s="91"/>
      <c r="G168" s="91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</row>
    <row r="169" ht="12.75" customHeight="1">
      <c r="A169" s="91"/>
      <c r="B169" s="91"/>
      <c r="C169" s="91"/>
      <c r="D169" s="91"/>
      <c r="E169" s="91"/>
      <c r="F169" s="91"/>
      <c r="G169" s="91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</row>
    <row r="170" ht="12.75" customHeight="1">
      <c r="A170" s="91"/>
      <c r="B170" s="91"/>
      <c r="C170" s="91"/>
      <c r="D170" s="91"/>
      <c r="E170" s="91"/>
      <c r="F170" s="91"/>
      <c r="G170" s="91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</row>
    <row r="171" ht="12.75" customHeight="1">
      <c r="A171" s="91"/>
      <c r="B171" s="91"/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</row>
    <row r="172" ht="12.75" customHeight="1">
      <c r="A172" s="91"/>
      <c r="B172" s="91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</row>
    <row r="173" ht="12.75" customHeight="1">
      <c r="A173" s="91"/>
      <c r="B173" s="91"/>
      <c r="C173" s="91"/>
      <c r="D173" s="91"/>
      <c r="E173" s="91"/>
      <c r="F173" s="91"/>
      <c r="G173" s="91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</row>
    <row r="174" ht="12.75" customHeight="1">
      <c r="A174" s="91"/>
      <c r="B174" s="91"/>
      <c r="C174" s="91"/>
      <c r="D174" s="91"/>
      <c r="E174" s="91"/>
      <c r="F174" s="91"/>
      <c r="G174" s="91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</row>
    <row r="175" ht="12.75" customHeight="1">
      <c r="A175" s="91"/>
      <c r="B175" s="91"/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</row>
    <row r="176" ht="12.75" customHeight="1">
      <c r="A176" s="91"/>
      <c r="B176" s="91"/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</row>
    <row r="177" ht="12.75" customHeight="1">
      <c r="A177" s="91"/>
      <c r="B177" s="91"/>
      <c r="C177" s="91"/>
      <c r="D177" s="91"/>
      <c r="E177" s="91"/>
      <c r="F177" s="91"/>
      <c r="G177" s="91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</row>
    <row r="178" ht="12.75" customHeight="1">
      <c r="A178" s="91"/>
      <c r="B178" s="91"/>
      <c r="C178" s="91"/>
      <c r="D178" s="91"/>
      <c r="E178" s="91"/>
      <c r="F178" s="91"/>
      <c r="G178" s="91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</row>
    <row r="179" ht="12.75" customHeight="1">
      <c r="A179" s="91"/>
      <c r="B179" s="91"/>
      <c r="C179" s="91"/>
      <c r="D179" s="91"/>
      <c r="E179" s="91"/>
      <c r="F179" s="91"/>
      <c r="G179" s="91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</row>
    <row r="180" ht="12.75" customHeight="1">
      <c r="A180" s="91"/>
      <c r="B180" s="91"/>
      <c r="C180" s="91"/>
      <c r="D180" s="91"/>
      <c r="E180" s="91"/>
      <c r="F180" s="91"/>
      <c r="G180" s="91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</row>
    <row r="181" ht="12.75" customHeight="1">
      <c r="A181" s="91"/>
      <c r="B181" s="91"/>
      <c r="C181" s="91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</row>
    <row r="182" ht="12.75" customHeight="1">
      <c r="A182" s="91"/>
      <c r="B182" s="91"/>
      <c r="C182" s="91"/>
      <c r="D182" s="91"/>
      <c r="E182" s="91"/>
      <c r="F182" s="91"/>
      <c r="G182" s="91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</row>
    <row r="183" ht="12.75" customHeight="1">
      <c r="A183" s="91"/>
      <c r="B183" s="91"/>
      <c r="C183" s="91"/>
      <c r="D183" s="91"/>
      <c r="E183" s="91"/>
      <c r="F183" s="91"/>
      <c r="G183" s="91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</row>
    <row r="184" ht="12.75" customHeight="1">
      <c r="A184" s="91"/>
      <c r="B184" s="91"/>
      <c r="C184" s="91"/>
      <c r="D184" s="91"/>
      <c r="E184" s="91"/>
      <c r="F184" s="91"/>
      <c r="G184" s="91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</row>
    <row r="185" ht="12.75" customHeight="1">
      <c r="A185" s="91"/>
      <c r="B185" s="91"/>
      <c r="C185" s="91"/>
      <c r="D185" s="91"/>
      <c r="E185" s="91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</row>
    <row r="186" ht="12.75" customHeight="1">
      <c r="A186" s="91"/>
      <c r="B186" s="91"/>
      <c r="C186" s="91"/>
      <c r="D186" s="91"/>
      <c r="E186" s="91"/>
      <c r="F186" s="91"/>
      <c r="G186" s="91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</row>
    <row r="187" ht="12.75" customHeight="1">
      <c r="A187" s="91"/>
      <c r="B187" s="91"/>
      <c r="C187" s="91"/>
      <c r="D187" s="91"/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</row>
    <row r="188" ht="12.75" customHeight="1">
      <c r="A188" s="91"/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</row>
    <row r="189" ht="12.75" customHeight="1">
      <c r="A189" s="91"/>
      <c r="B189" s="91"/>
      <c r="C189" s="91"/>
      <c r="D189" s="91"/>
      <c r="E189" s="91"/>
      <c r="F189" s="91"/>
      <c r="G189" s="91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</row>
    <row r="190" ht="12.75" customHeight="1">
      <c r="A190" s="91"/>
      <c r="B190" s="91"/>
      <c r="C190" s="91"/>
      <c r="D190" s="91"/>
      <c r="E190" s="91"/>
      <c r="F190" s="91"/>
      <c r="G190" s="91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</row>
    <row r="191" ht="12.75" customHeight="1">
      <c r="A191" s="91"/>
      <c r="B191" s="91"/>
      <c r="C191" s="91"/>
      <c r="D191" s="91"/>
      <c r="E191" s="91"/>
      <c r="F191" s="91"/>
      <c r="G191" s="91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</row>
    <row r="192" ht="12.75" customHeight="1">
      <c r="A192" s="91"/>
      <c r="B192" s="91"/>
      <c r="C192" s="91"/>
      <c r="D192" s="91"/>
      <c r="E192" s="91"/>
      <c r="F192" s="91"/>
      <c r="G192" s="91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</row>
    <row r="193" ht="12.75" customHeight="1">
      <c r="A193" s="91"/>
      <c r="B193" s="91"/>
      <c r="C193" s="91"/>
      <c r="D193" s="91"/>
      <c r="E193" s="91"/>
      <c r="F193" s="91"/>
      <c r="G193" s="91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</row>
    <row r="194" ht="12.75" customHeight="1">
      <c r="A194" s="91"/>
      <c r="B194" s="91"/>
      <c r="C194" s="91"/>
      <c r="D194" s="91"/>
      <c r="E194" s="91"/>
      <c r="F194" s="91"/>
      <c r="G194" s="91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</row>
    <row r="195" ht="12.75" customHeight="1">
      <c r="A195" s="91"/>
      <c r="B195" s="91"/>
      <c r="C195" s="91"/>
      <c r="D195" s="91"/>
      <c r="E195" s="91"/>
      <c r="F195" s="91"/>
      <c r="G195" s="91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</row>
    <row r="196" ht="12.75" customHeight="1">
      <c r="A196" s="91"/>
      <c r="B196" s="91"/>
      <c r="C196" s="91"/>
      <c r="D196" s="91"/>
      <c r="E196" s="91"/>
      <c r="F196" s="91"/>
      <c r="G196" s="91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</row>
    <row r="197" ht="12.75" customHeight="1">
      <c r="A197" s="91"/>
      <c r="B197" s="91"/>
      <c r="C197" s="91"/>
      <c r="D197" s="91"/>
      <c r="E197" s="91"/>
      <c r="F197" s="91"/>
      <c r="G197" s="91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</row>
    <row r="198" ht="12.75" customHeight="1">
      <c r="A198" s="91"/>
      <c r="B198" s="91"/>
      <c r="C198" s="91"/>
      <c r="D198" s="91"/>
      <c r="E198" s="91"/>
      <c r="F198" s="91"/>
      <c r="G198" s="91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</row>
    <row r="199" ht="12.75" customHeight="1">
      <c r="A199" s="91"/>
      <c r="B199" s="91"/>
      <c r="C199" s="91"/>
      <c r="D199" s="91"/>
      <c r="E199" s="91"/>
      <c r="F199" s="91"/>
      <c r="G199" s="91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</row>
    <row r="200" ht="12.75" customHeight="1">
      <c r="A200" s="91"/>
      <c r="B200" s="91"/>
      <c r="C200" s="91"/>
      <c r="D200" s="91"/>
      <c r="E200" s="91"/>
      <c r="F200" s="91"/>
      <c r="G200" s="91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</row>
    <row r="201" ht="12.75" customHeight="1">
      <c r="A201" s="91"/>
      <c r="B201" s="91"/>
      <c r="C201" s="91"/>
      <c r="D201" s="91"/>
      <c r="E201" s="91"/>
      <c r="F201" s="91"/>
      <c r="G201" s="91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</row>
    <row r="202" ht="12.75" customHeight="1">
      <c r="A202" s="91"/>
      <c r="B202" s="91"/>
      <c r="C202" s="91"/>
      <c r="D202" s="91"/>
      <c r="E202" s="91"/>
      <c r="F202" s="91"/>
      <c r="G202" s="91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</row>
    <row r="203" ht="12.75" customHeight="1">
      <c r="A203" s="91"/>
      <c r="B203" s="91"/>
      <c r="C203" s="91"/>
      <c r="D203" s="91"/>
      <c r="E203" s="91"/>
      <c r="F203" s="91"/>
      <c r="G203" s="91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</row>
    <row r="204" ht="12.75" customHeight="1">
      <c r="A204" s="91"/>
      <c r="B204" s="91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</row>
    <row r="205" ht="12.75" customHeight="1">
      <c r="A205" s="91"/>
      <c r="B205" s="91"/>
      <c r="C205" s="91"/>
      <c r="D205" s="91"/>
      <c r="E205" s="91"/>
      <c r="F205" s="91"/>
      <c r="G205" s="91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</row>
    <row r="206" ht="12.75" customHeight="1">
      <c r="A206" s="91"/>
      <c r="B206" s="91"/>
      <c r="C206" s="91"/>
      <c r="D206" s="91"/>
      <c r="E206" s="91"/>
      <c r="F206" s="91"/>
      <c r="G206" s="91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</row>
    <row r="207" ht="12.75" customHeight="1">
      <c r="A207" s="91"/>
      <c r="B207" s="91"/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</row>
    <row r="208" ht="12.75" customHeight="1">
      <c r="A208" s="91"/>
      <c r="B208" s="91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</row>
    <row r="209" ht="12.75" customHeight="1">
      <c r="A209" s="91"/>
      <c r="B209" s="91"/>
      <c r="C209" s="91"/>
      <c r="D209" s="91"/>
      <c r="E209" s="91"/>
      <c r="F209" s="91"/>
      <c r="G209" s="91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</row>
    <row r="210" ht="12.75" customHeight="1">
      <c r="A210" s="91"/>
      <c r="B210" s="91"/>
      <c r="C210" s="91"/>
      <c r="D210" s="91"/>
      <c r="E210" s="91"/>
      <c r="F210" s="91"/>
      <c r="G210" s="91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</row>
    <row r="211" ht="12.75" customHeight="1">
      <c r="A211" s="91"/>
      <c r="B211" s="91"/>
      <c r="C211" s="91"/>
      <c r="D211" s="91"/>
      <c r="E211" s="91"/>
      <c r="F211" s="91"/>
      <c r="G211" s="91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</row>
    <row r="212" ht="12.75" customHeight="1">
      <c r="A212" s="91"/>
      <c r="B212" s="91"/>
      <c r="C212" s="91"/>
      <c r="D212" s="91"/>
      <c r="E212" s="91"/>
      <c r="F212" s="91"/>
      <c r="G212" s="91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</row>
    <row r="213" ht="12.75" customHeight="1">
      <c r="A213" s="91"/>
      <c r="B213" s="91"/>
      <c r="C213" s="91"/>
      <c r="D213" s="91"/>
      <c r="E213" s="91"/>
      <c r="F213" s="91"/>
      <c r="G213" s="91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</row>
    <row r="214" ht="12.75" customHeight="1">
      <c r="A214" s="91"/>
      <c r="B214" s="91"/>
      <c r="C214" s="91"/>
      <c r="D214" s="91"/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</row>
    <row r="215" ht="12.75" customHeight="1">
      <c r="A215" s="91"/>
      <c r="B215" s="91"/>
      <c r="C215" s="91"/>
      <c r="D215" s="91"/>
      <c r="E215" s="91"/>
      <c r="F215" s="91"/>
      <c r="G215" s="91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</row>
    <row r="216" ht="12.75" customHeight="1">
      <c r="A216" s="91"/>
      <c r="B216" s="91"/>
      <c r="C216" s="91"/>
      <c r="D216" s="91"/>
      <c r="E216" s="91"/>
      <c r="F216" s="91"/>
      <c r="G216" s="91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</row>
    <row r="217" ht="12.75" customHeight="1">
      <c r="A217" s="91"/>
      <c r="B217" s="91"/>
      <c r="C217" s="91"/>
      <c r="D217" s="91"/>
      <c r="E217" s="91"/>
      <c r="F217" s="91"/>
      <c r="G217" s="91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</row>
    <row r="218" ht="12.75" customHeight="1">
      <c r="A218" s="91"/>
      <c r="B218" s="91"/>
      <c r="C218" s="91"/>
      <c r="D218" s="91"/>
      <c r="E218" s="91"/>
      <c r="F218" s="91"/>
      <c r="G218" s="91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</row>
    <row r="219" ht="12.75" customHeight="1">
      <c r="A219" s="91"/>
      <c r="B219" s="91"/>
      <c r="C219" s="91"/>
      <c r="D219" s="91"/>
      <c r="E219" s="91"/>
      <c r="F219" s="91"/>
      <c r="G219" s="91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</row>
    <row r="220" ht="12.75" customHeight="1">
      <c r="A220" s="91"/>
      <c r="B220" s="91"/>
      <c r="C220" s="91"/>
      <c r="D220" s="91"/>
      <c r="E220" s="91"/>
      <c r="F220" s="91"/>
      <c r="G220" s="91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</row>
    <row r="221" ht="12.75" customHeight="1">
      <c r="A221" s="91"/>
      <c r="B221" s="91"/>
      <c r="C221" s="91"/>
      <c r="D221" s="91"/>
      <c r="E221" s="91"/>
      <c r="F221" s="91"/>
      <c r="G221" s="91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</row>
    <row r="222" ht="12.75" customHeight="1">
      <c r="A222" s="91"/>
      <c r="B222" s="91"/>
      <c r="C222" s="91"/>
      <c r="D222" s="91"/>
      <c r="E222" s="91"/>
      <c r="F222" s="91"/>
      <c r="G222" s="91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</row>
    <row r="223" ht="12.75" customHeight="1">
      <c r="A223" s="91"/>
      <c r="B223" s="91"/>
      <c r="C223" s="91"/>
      <c r="D223" s="91"/>
      <c r="E223" s="91"/>
      <c r="F223" s="91"/>
      <c r="G223" s="91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</row>
    <row r="224" ht="12.75" customHeight="1">
      <c r="A224" s="91"/>
      <c r="B224" s="91"/>
      <c r="C224" s="91"/>
      <c r="D224" s="91"/>
      <c r="E224" s="91"/>
      <c r="F224" s="91"/>
      <c r="G224" s="91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</row>
    <row r="225" ht="12.75" customHeight="1">
      <c r="A225" s="91"/>
      <c r="B225" s="91"/>
      <c r="C225" s="91"/>
      <c r="D225" s="91"/>
      <c r="E225" s="91"/>
      <c r="F225" s="91"/>
      <c r="G225" s="91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</row>
    <row r="226" ht="12.75" customHeight="1">
      <c r="A226" s="91"/>
      <c r="B226" s="91"/>
      <c r="C226" s="91"/>
      <c r="D226" s="91"/>
      <c r="E226" s="91"/>
      <c r="F226" s="91"/>
      <c r="G226" s="91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</row>
    <row r="227" ht="12.75" customHeight="1">
      <c r="A227" s="91"/>
      <c r="B227" s="91"/>
      <c r="C227" s="91"/>
      <c r="D227" s="91"/>
      <c r="E227" s="91"/>
      <c r="F227" s="91"/>
      <c r="G227" s="91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</row>
    <row r="228" ht="12.75" customHeight="1">
      <c r="A228" s="91"/>
      <c r="B228" s="91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</row>
    <row r="229" ht="12.75" customHeight="1">
      <c r="A229" s="91"/>
      <c r="B229" s="91"/>
      <c r="C229" s="91"/>
      <c r="D229" s="91"/>
      <c r="E229" s="91"/>
      <c r="F229" s="91"/>
      <c r="G229" s="91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</row>
    <row r="230" ht="12.75" customHeight="1">
      <c r="A230" s="91"/>
      <c r="B230" s="91"/>
      <c r="C230" s="91"/>
      <c r="D230" s="91"/>
      <c r="E230" s="91"/>
      <c r="F230" s="91"/>
      <c r="G230" s="91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</row>
    <row r="231" ht="12.75" customHeight="1">
      <c r="A231" s="91"/>
      <c r="B231" s="91"/>
      <c r="C231" s="91"/>
      <c r="D231" s="91"/>
      <c r="E231" s="91"/>
      <c r="F231" s="91"/>
      <c r="G231" s="91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</row>
    <row r="232" ht="12.75" customHeight="1">
      <c r="A232" s="91"/>
      <c r="B232" s="91"/>
      <c r="C232" s="91"/>
      <c r="D232" s="91"/>
      <c r="E232" s="91"/>
      <c r="F232" s="91"/>
      <c r="G232" s="91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</row>
    <row r="233" ht="12.75" customHeight="1">
      <c r="A233" s="91"/>
      <c r="B233" s="91"/>
      <c r="C233" s="91"/>
      <c r="D233" s="91"/>
      <c r="E233" s="91"/>
      <c r="F233" s="91"/>
      <c r="G233" s="91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</row>
    <row r="234" ht="12.75" customHeight="1">
      <c r="A234" s="91"/>
      <c r="B234" s="91"/>
      <c r="C234" s="91"/>
      <c r="D234" s="91"/>
      <c r="E234" s="91"/>
      <c r="F234" s="91"/>
      <c r="G234" s="91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</row>
    <row r="235" ht="12.75" customHeight="1">
      <c r="A235" s="91"/>
      <c r="B235" s="91"/>
      <c r="C235" s="91"/>
      <c r="D235" s="91"/>
      <c r="E235" s="91"/>
      <c r="F235" s="91"/>
      <c r="G235" s="91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</row>
    <row r="236" ht="12.75" customHeight="1">
      <c r="A236" s="91"/>
      <c r="B236" s="91"/>
      <c r="C236" s="91"/>
      <c r="D236" s="91"/>
      <c r="E236" s="91"/>
      <c r="F236" s="91"/>
      <c r="G236" s="91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</row>
    <row r="237" ht="12.75" customHeight="1">
      <c r="A237" s="91"/>
      <c r="B237" s="91"/>
      <c r="C237" s="91"/>
      <c r="D237" s="91"/>
      <c r="E237" s="91"/>
      <c r="F237" s="91"/>
      <c r="G237" s="91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</row>
    <row r="238" ht="12.75" customHeight="1">
      <c r="A238" s="91"/>
      <c r="B238" s="91"/>
      <c r="C238" s="91"/>
      <c r="D238" s="91"/>
      <c r="E238" s="91"/>
      <c r="F238" s="91"/>
      <c r="G238" s="91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</row>
    <row r="239" ht="12.75" customHeight="1">
      <c r="A239" s="91"/>
      <c r="B239" s="91"/>
      <c r="C239" s="91"/>
      <c r="D239" s="91"/>
      <c r="E239" s="91"/>
      <c r="F239" s="91"/>
      <c r="G239" s="91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</row>
    <row r="240" ht="12.75" customHeight="1">
      <c r="A240" s="91"/>
      <c r="B240" s="91"/>
      <c r="C240" s="91"/>
      <c r="D240" s="91"/>
      <c r="E240" s="91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</row>
    <row r="241" ht="12.75" customHeight="1">
      <c r="A241" s="91"/>
      <c r="B241" s="91"/>
      <c r="C241" s="91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</row>
    <row r="242" ht="12.75" customHeight="1">
      <c r="A242" s="91"/>
      <c r="B242" s="91"/>
      <c r="C242" s="91"/>
      <c r="D242" s="91"/>
      <c r="E242" s="91"/>
      <c r="F242" s="91"/>
      <c r="G242" s="91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</row>
    <row r="243" ht="12.75" customHeight="1">
      <c r="A243" s="91"/>
      <c r="B243" s="91"/>
      <c r="C243" s="91"/>
      <c r="D243" s="91"/>
      <c r="E243" s="91"/>
      <c r="F243" s="91"/>
      <c r="G243" s="91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</row>
    <row r="244" ht="12.75" customHeight="1">
      <c r="A244" s="91"/>
      <c r="B244" s="91"/>
      <c r="C244" s="91"/>
      <c r="D244" s="91"/>
      <c r="E244" s="91"/>
      <c r="F244" s="91"/>
      <c r="G244" s="91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</row>
    <row r="245" ht="12.75" customHeight="1">
      <c r="A245" s="91"/>
      <c r="B245" s="91"/>
      <c r="C245" s="91"/>
      <c r="D245" s="91"/>
      <c r="E245" s="91"/>
      <c r="F245" s="91"/>
      <c r="G245" s="91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</row>
    <row r="246" ht="12.75" customHeight="1">
      <c r="A246" s="91"/>
      <c r="B246" s="91"/>
      <c r="C246" s="91"/>
      <c r="D246" s="91"/>
      <c r="E246" s="91"/>
      <c r="F246" s="91"/>
      <c r="G246" s="91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</row>
    <row r="247" ht="12.75" customHeight="1">
      <c r="A247" s="91"/>
      <c r="B247" s="91"/>
      <c r="C247" s="91"/>
      <c r="D247" s="91"/>
      <c r="E247" s="91"/>
      <c r="F247" s="91"/>
      <c r="G247" s="91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</row>
    <row r="248" ht="12.75" customHeight="1">
      <c r="A248" s="91"/>
      <c r="B248" s="91"/>
      <c r="C248" s="91"/>
      <c r="D248" s="91"/>
      <c r="E248" s="91"/>
      <c r="F248" s="91"/>
      <c r="G248" s="91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</row>
    <row r="249" ht="12.75" customHeight="1">
      <c r="A249" s="91"/>
      <c r="B249" s="91"/>
      <c r="C249" s="91"/>
      <c r="D249" s="91"/>
      <c r="E249" s="91"/>
      <c r="F249" s="91"/>
      <c r="G249" s="91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</row>
    <row r="250" ht="12.75" customHeight="1">
      <c r="A250" s="91"/>
      <c r="B250" s="91"/>
      <c r="C250" s="91"/>
      <c r="D250" s="91"/>
      <c r="E250" s="91"/>
      <c r="F250" s="91"/>
      <c r="G250" s="91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</row>
    <row r="251" ht="12.75" customHeight="1">
      <c r="A251" s="91"/>
      <c r="B251" s="91"/>
      <c r="C251" s="91"/>
      <c r="D251" s="91"/>
      <c r="E251" s="91"/>
      <c r="F251" s="91"/>
      <c r="G251" s="91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</row>
    <row r="252" ht="12.75" customHeight="1">
      <c r="A252" s="91"/>
      <c r="B252" s="91"/>
      <c r="C252" s="91"/>
      <c r="D252" s="91"/>
      <c r="E252" s="91"/>
      <c r="F252" s="91"/>
      <c r="G252" s="91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</row>
    <row r="253" ht="12.75" customHeight="1">
      <c r="A253" s="91"/>
      <c r="B253" s="91"/>
      <c r="C253" s="91"/>
      <c r="D253" s="91"/>
      <c r="E253" s="91"/>
      <c r="F253" s="91"/>
      <c r="G253" s="91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</row>
    <row r="254" ht="12.75" customHeight="1">
      <c r="A254" s="91"/>
      <c r="B254" s="91"/>
      <c r="C254" s="91"/>
      <c r="D254" s="91"/>
      <c r="E254" s="91"/>
      <c r="F254" s="91"/>
      <c r="G254" s="91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</row>
    <row r="255" ht="12.75" customHeight="1">
      <c r="A255" s="91"/>
      <c r="B255" s="91"/>
      <c r="C255" s="91"/>
      <c r="D255" s="91"/>
      <c r="E255" s="91"/>
      <c r="F255" s="91"/>
      <c r="G255" s="91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</row>
    <row r="256" ht="12.75" customHeight="1">
      <c r="A256" s="91"/>
      <c r="B256" s="91"/>
      <c r="C256" s="91"/>
      <c r="D256" s="91"/>
      <c r="E256" s="91"/>
      <c r="F256" s="91"/>
      <c r="G256" s="91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</row>
    <row r="257" ht="12.75" customHeight="1">
      <c r="A257" s="91"/>
      <c r="B257" s="91"/>
      <c r="C257" s="91"/>
      <c r="D257" s="91"/>
      <c r="E257" s="91"/>
      <c r="F257" s="91"/>
      <c r="G257" s="91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</row>
    <row r="258" ht="12.75" customHeight="1">
      <c r="A258" s="91"/>
      <c r="B258" s="91"/>
      <c r="C258" s="91"/>
      <c r="D258" s="91"/>
      <c r="E258" s="91"/>
      <c r="F258" s="91"/>
      <c r="G258" s="91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</row>
    <row r="259" ht="12.75" customHeight="1">
      <c r="A259" s="91"/>
      <c r="B259" s="91"/>
      <c r="C259" s="91"/>
      <c r="D259" s="91"/>
      <c r="E259" s="91"/>
      <c r="F259" s="91"/>
      <c r="G259" s="91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</row>
    <row r="260" ht="12.75" customHeight="1">
      <c r="A260" s="91"/>
      <c r="B260" s="91"/>
      <c r="C260" s="91"/>
      <c r="D260" s="91"/>
      <c r="E260" s="91"/>
      <c r="F260" s="91"/>
      <c r="G260" s="91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</row>
    <row r="261" ht="12.75" customHeight="1">
      <c r="A261" s="91"/>
      <c r="B261" s="91"/>
      <c r="C261" s="91"/>
      <c r="D261" s="91"/>
      <c r="E261" s="91"/>
      <c r="F261" s="91"/>
      <c r="G261" s="91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</row>
    <row r="262" ht="12.75" customHeight="1">
      <c r="A262" s="91"/>
      <c r="B262" s="91"/>
      <c r="C262" s="91"/>
      <c r="D262" s="91"/>
      <c r="E262" s="91"/>
      <c r="F262" s="91"/>
      <c r="G262" s="91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</row>
    <row r="263" ht="12.75" customHeight="1">
      <c r="A263" s="91"/>
      <c r="B263" s="91"/>
      <c r="C263" s="91"/>
      <c r="D263" s="91"/>
      <c r="E263" s="91"/>
      <c r="F263" s="91"/>
      <c r="G263" s="91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</row>
    <row r="264" ht="12.75" customHeight="1">
      <c r="A264" s="91"/>
      <c r="B264" s="91"/>
      <c r="C264" s="91"/>
      <c r="D264" s="91"/>
      <c r="E264" s="91"/>
      <c r="F264" s="91"/>
      <c r="G264" s="91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</row>
    <row r="265" ht="12.75" customHeight="1">
      <c r="A265" s="91"/>
      <c r="B265" s="91"/>
      <c r="C265" s="91"/>
      <c r="D265" s="91"/>
      <c r="E265" s="91"/>
      <c r="F265" s="91"/>
      <c r="G265" s="91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</row>
    <row r="266" ht="12.75" customHeight="1">
      <c r="A266" s="91"/>
      <c r="B266" s="91"/>
      <c r="C266" s="91"/>
      <c r="D266" s="91"/>
      <c r="E266" s="91"/>
      <c r="F266" s="91"/>
      <c r="G266" s="91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</row>
    <row r="267" ht="12.75" customHeight="1">
      <c r="A267" s="91"/>
      <c r="B267" s="91"/>
      <c r="C267" s="91"/>
      <c r="D267" s="91"/>
      <c r="E267" s="91"/>
      <c r="F267" s="91"/>
      <c r="G267" s="91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</row>
    <row r="268" ht="12.75" customHeight="1">
      <c r="A268" s="91"/>
      <c r="B268" s="91"/>
      <c r="C268" s="91"/>
      <c r="D268" s="91"/>
      <c r="E268" s="91"/>
      <c r="F268" s="91"/>
      <c r="G268" s="91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</row>
    <row r="269" ht="12.75" customHeight="1">
      <c r="A269" s="91"/>
      <c r="B269" s="91"/>
      <c r="C269" s="91"/>
      <c r="D269" s="91"/>
      <c r="E269" s="91"/>
      <c r="F269" s="91"/>
      <c r="G269" s="91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</row>
    <row r="270" ht="12.75" customHeight="1">
      <c r="A270" s="91"/>
      <c r="B270" s="91"/>
      <c r="C270" s="91"/>
      <c r="D270" s="91"/>
      <c r="E270" s="91"/>
      <c r="F270" s="91"/>
      <c r="G270" s="91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</row>
    <row r="271" ht="12.75" customHeight="1">
      <c r="A271" s="91"/>
      <c r="B271" s="91"/>
      <c r="C271" s="91"/>
      <c r="D271" s="91"/>
      <c r="E271" s="91"/>
      <c r="F271" s="91"/>
      <c r="G271" s="91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</row>
    <row r="272" ht="12.75" customHeight="1">
      <c r="A272" s="91"/>
      <c r="B272" s="91"/>
      <c r="C272" s="91"/>
      <c r="D272" s="91"/>
      <c r="E272" s="91"/>
      <c r="F272" s="91"/>
      <c r="G272" s="91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</row>
    <row r="273" ht="12.75" customHeight="1">
      <c r="A273" s="91"/>
      <c r="B273" s="91"/>
      <c r="C273" s="91"/>
      <c r="D273" s="91"/>
      <c r="E273" s="91"/>
      <c r="F273" s="91"/>
      <c r="G273" s="91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</row>
    <row r="274" ht="12.75" customHeight="1">
      <c r="A274" s="91"/>
      <c r="B274" s="91"/>
      <c r="C274" s="91"/>
      <c r="D274" s="91"/>
      <c r="E274" s="91"/>
      <c r="F274" s="91"/>
      <c r="G274" s="91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</row>
    <row r="275" ht="12.75" customHeight="1">
      <c r="A275" s="91"/>
      <c r="B275" s="91"/>
      <c r="C275" s="91"/>
      <c r="D275" s="91"/>
      <c r="E275" s="91"/>
      <c r="F275" s="91"/>
      <c r="G275" s="91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</row>
    <row r="276" ht="12.75" customHeight="1">
      <c r="A276" s="91"/>
      <c r="B276" s="91"/>
      <c r="C276" s="91"/>
      <c r="D276" s="91"/>
      <c r="E276" s="91"/>
      <c r="F276" s="91"/>
      <c r="G276" s="91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</row>
    <row r="277" ht="12.75" customHeight="1">
      <c r="A277" s="91"/>
      <c r="B277" s="91"/>
      <c r="C277" s="91"/>
      <c r="D277" s="91"/>
      <c r="E277" s="91"/>
      <c r="F277" s="91"/>
      <c r="G277" s="91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</row>
    <row r="278" ht="12.75" customHeight="1">
      <c r="A278" s="91"/>
      <c r="B278" s="91"/>
      <c r="C278" s="91"/>
      <c r="D278" s="91"/>
      <c r="E278" s="91"/>
      <c r="F278" s="91"/>
      <c r="G278" s="91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</row>
    <row r="279" ht="12.75" customHeight="1">
      <c r="A279" s="91"/>
      <c r="B279" s="91"/>
      <c r="C279" s="91"/>
      <c r="D279" s="91"/>
      <c r="E279" s="91"/>
      <c r="F279" s="91"/>
      <c r="G279" s="91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</row>
    <row r="280" ht="12.75" customHeight="1">
      <c r="A280" s="91"/>
      <c r="B280" s="91"/>
      <c r="C280" s="91"/>
      <c r="D280" s="91"/>
      <c r="E280" s="91"/>
      <c r="F280" s="91"/>
      <c r="G280" s="91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</row>
    <row r="281" ht="12.75" customHeight="1">
      <c r="A281" s="91"/>
      <c r="B281" s="91"/>
      <c r="C281" s="91"/>
      <c r="D281" s="91"/>
      <c r="E281" s="91"/>
      <c r="F281" s="91"/>
      <c r="G281" s="91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</row>
    <row r="282" ht="12.75" customHeight="1">
      <c r="A282" s="91"/>
      <c r="B282" s="91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</row>
    <row r="283" ht="12.75" customHeight="1">
      <c r="A283" s="91"/>
      <c r="B283" s="91"/>
      <c r="C283" s="91"/>
      <c r="D283" s="91"/>
      <c r="E283" s="91"/>
      <c r="F283" s="91"/>
      <c r="G283" s="91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</row>
    <row r="284" ht="12.75" customHeight="1">
      <c r="A284" s="91"/>
      <c r="B284" s="91"/>
      <c r="C284" s="91"/>
      <c r="D284" s="91"/>
      <c r="E284" s="91"/>
      <c r="F284" s="91"/>
      <c r="G284" s="91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</row>
    <row r="285" ht="12.75" customHeight="1">
      <c r="A285" s="91"/>
      <c r="B285" s="91"/>
      <c r="C285" s="91"/>
      <c r="D285" s="91"/>
      <c r="E285" s="91"/>
      <c r="F285" s="91"/>
      <c r="G285" s="91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</row>
    <row r="286" ht="12.75" customHeight="1">
      <c r="A286" s="91"/>
      <c r="B286" s="91"/>
      <c r="C286" s="91"/>
      <c r="D286" s="91"/>
      <c r="E286" s="91"/>
      <c r="F286" s="91"/>
      <c r="G286" s="91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</row>
    <row r="287" ht="12.75" customHeight="1">
      <c r="A287" s="91"/>
      <c r="B287" s="91"/>
      <c r="C287" s="91"/>
      <c r="D287" s="91"/>
      <c r="E287" s="91"/>
      <c r="F287" s="91"/>
      <c r="G287" s="91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</row>
    <row r="288" ht="12.75" customHeight="1">
      <c r="A288" s="91"/>
      <c r="B288" s="91"/>
      <c r="C288" s="91"/>
      <c r="D288" s="91"/>
      <c r="E288" s="91"/>
      <c r="F288" s="91"/>
      <c r="G288" s="91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</row>
    <row r="289" ht="12.75" customHeight="1">
      <c r="A289" s="91"/>
      <c r="B289" s="91"/>
      <c r="C289" s="91"/>
      <c r="D289" s="91"/>
      <c r="E289" s="91"/>
      <c r="F289" s="91"/>
      <c r="G289" s="91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</row>
    <row r="290" ht="12.75" customHeight="1">
      <c r="A290" s="91"/>
      <c r="B290" s="91"/>
      <c r="C290" s="91"/>
      <c r="D290" s="91"/>
      <c r="E290" s="91"/>
      <c r="F290" s="91"/>
      <c r="G290" s="91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</row>
    <row r="291" ht="12.75" customHeight="1">
      <c r="A291" s="91"/>
      <c r="B291" s="91"/>
      <c r="C291" s="91"/>
      <c r="D291" s="91"/>
      <c r="E291" s="91"/>
      <c r="F291" s="91"/>
      <c r="G291" s="91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</row>
    <row r="292" ht="12.75" customHeight="1">
      <c r="A292" s="91"/>
      <c r="B292" s="91"/>
      <c r="C292" s="91"/>
      <c r="D292" s="91"/>
      <c r="E292" s="91"/>
      <c r="F292" s="91"/>
      <c r="G292" s="91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</row>
    <row r="293" ht="12.75" customHeight="1">
      <c r="A293" s="91"/>
      <c r="B293" s="91"/>
      <c r="C293" s="91"/>
      <c r="D293" s="91"/>
      <c r="E293" s="91"/>
      <c r="F293" s="91"/>
      <c r="G293" s="91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</row>
    <row r="294" ht="12.75" customHeight="1">
      <c r="A294" s="91"/>
      <c r="B294" s="91"/>
      <c r="C294" s="91"/>
      <c r="D294" s="91"/>
      <c r="E294" s="91"/>
      <c r="F294" s="91"/>
      <c r="G294" s="91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</row>
    <row r="295" ht="12.75" customHeight="1">
      <c r="A295" s="91"/>
      <c r="B295" s="91"/>
      <c r="C295" s="91"/>
      <c r="D295" s="91"/>
      <c r="E295" s="91"/>
      <c r="F295" s="91"/>
      <c r="G295" s="91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</row>
    <row r="296" ht="12.75" customHeight="1">
      <c r="A296" s="91"/>
      <c r="B296" s="91"/>
      <c r="C296" s="91"/>
      <c r="D296" s="91"/>
      <c r="E296" s="91"/>
      <c r="F296" s="91"/>
      <c r="G296" s="91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</row>
    <row r="297" ht="12.75" customHeight="1">
      <c r="A297" s="91"/>
      <c r="B297" s="91"/>
      <c r="C297" s="91"/>
      <c r="D297" s="91"/>
      <c r="E297" s="91"/>
      <c r="F297" s="91"/>
      <c r="G297" s="91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</row>
    <row r="298" ht="12.75" customHeight="1">
      <c r="A298" s="91"/>
      <c r="B298" s="91"/>
      <c r="C298" s="91"/>
      <c r="D298" s="91"/>
      <c r="E298" s="91"/>
      <c r="F298" s="91"/>
      <c r="G298" s="91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</row>
    <row r="299" ht="12.75" customHeight="1">
      <c r="A299" s="91"/>
      <c r="B299" s="91"/>
      <c r="C299" s="91"/>
      <c r="D299" s="91"/>
      <c r="E299" s="91"/>
      <c r="F299" s="91"/>
      <c r="G299" s="91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</row>
    <row r="300" ht="12.75" customHeight="1">
      <c r="A300" s="91"/>
      <c r="B300" s="91"/>
      <c r="C300" s="91"/>
      <c r="D300" s="91"/>
      <c r="E300" s="91"/>
      <c r="F300" s="91"/>
      <c r="G300" s="91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</row>
    <row r="301" ht="12.75" customHeight="1">
      <c r="A301" s="91"/>
      <c r="B301" s="91"/>
      <c r="C301" s="91"/>
      <c r="D301" s="91"/>
      <c r="E301" s="91"/>
      <c r="F301" s="91"/>
      <c r="G301" s="91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</row>
    <row r="302" ht="12.75" customHeight="1">
      <c r="A302" s="91"/>
      <c r="B302" s="91"/>
      <c r="C302" s="91"/>
      <c r="D302" s="91"/>
      <c r="E302" s="91"/>
      <c r="F302" s="91"/>
      <c r="G302" s="91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</row>
    <row r="303" ht="12.75" customHeight="1">
      <c r="A303" s="91"/>
      <c r="B303" s="91"/>
      <c r="C303" s="91"/>
      <c r="D303" s="91"/>
      <c r="E303" s="91"/>
      <c r="F303" s="91"/>
      <c r="G303" s="91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</row>
    <row r="304" ht="12.75" customHeight="1">
      <c r="A304" s="91"/>
      <c r="B304" s="91"/>
      <c r="C304" s="91"/>
      <c r="D304" s="91"/>
      <c r="E304" s="91"/>
      <c r="F304" s="91"/>
      <c r="G304" s="91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</row>
    <row r="305" ht="12.75" customHeight="1">
      <c r="A305" s="91"/>
      <c r="B305" s="91"/>
      <c r="C305" s="91"/>
      <c r="D305" s="91"/>
      <c r="E305" s="91"/>
      <c r="F305" s="91"/>
      <c r="G305" s="91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</row>
    <row r="306" ht="12.75" customHeight="1">
      <c r="A306" s="91"/>
      <c r="B306" s="91"/>
      <c r="C306" s="91"/>
      <c r="D306" s="91"/>
      <c r="E306" s="91"/>
      <c r="F306" s="91"/>
      <c r="G306" s="91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</row>
    <row r="307" ht="12.75" customHeight="1">
      <c r="A307" s="91"/>
      <c r="B307" s="91"/>
      <c r="C307" s="91"/>
      <c r="D307" s="91"/>
      <c r="E307" s="91"/>
      <c r="F307" s="91"/>
      <c r="G307" s="91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</row>
    <row r="308" ht="12.75" customHeight="1">
      <c r="A308" s="91"/>
      <c r="B308" s="91"/>
      <c r="C308" s="91"/>
      <c r="D308" s="91"/>
      <c r="E308" s="91"/>
      <c r="F308" s="91"/>
      <c r="G308" s="91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</row>
    <row r="309" ht="12.75" customHeight="1">
      <c r="A309" s="91"/>
      <c r="B309" s="91"/>
      <c r="C309" s="91"/>
      <c r="D309" s="91"/>
      <c r="E309" s="91"/>
      <c r="F309" s="91"/>
      <c r="G309" s="91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</row>
    <row r="310" ht="12.75" customHeight="1">
      <c r="A310" s="91"/>
      <c r="B310" s="91"/>
      <c r="C310" s="91"/>
      <c r="D310" s="91"/>
      <c r="E310" s="91"/>
      <c r="F310" s="91"/>
      <c r="G310" s="91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</row>
    <row r="311" ht="12.75" customHeight="1">
      <c r="A311" s="91"/>
      <c r="B311" s="91"/>
      <c r="C311" s="91"/>
      <c r="D311" s="91"/>
      <c r="E311" s="91"/>
      <c r="F311" s="91"/>
      <c r="G311" s="91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</row>
    <row r="312" ht="12.75" customHeight="1">
      <c r="A312" s="91"/>
      <c r="B312" s="91"/>
      <c r="C312" s="91"/>
      <c r="D312" s="91"/>
      <c r="E312" s="91"/>
      <c r="F312" s="91"/>
      <c r="G312" s="91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</row>
    <row r="313" ht="12.75" customHeight="1">
      <c r="A313" s="91"/>
      <c r="B313" s="91"/>
      <c r="C313" s="91"/>
      <c r="D313" s="91"/>
      <c r="E313" s="91"/>
      <c r="F313" s="91"/>
      <c r="G313" s="91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</row>
    <row r="314" ht="12.75" customHeight="1">
      <c r="A314" s="91"/>
      <c r="B314" s="91"/>
      <c r="C314" s="91"/>
      <c r="D314" s="91"/>
      <c r="E314" s="91"/>
      <c r="F314" s="91"/>
      <c r="G314" s="91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</row>
    <row r="315" ht="12.75" customHeight="1">
      <c r="A315" s="91"/>
      <c r="B315" s="91"/>
      <c r="C315" s="91"/>
      <c r="D315" s="91"/>
      <c r="E315" s="91"/>
      <c r="F315" s="91"/>
      <c r="G315" s="91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</row>
    <row r="316" ht="12.75" customHeight="1">
      <c r="A316" s="91"/>
      <c r="B316" s="91"/>
      <c r="C316" s="91"/>
      <c r="D316" s="91"/>
      <c r="E316" s="91"/>
      <c r="F316" s="91"/>
      <c r="G316" s="91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</row>
    <row r="317" ht="12.75" customHeight="1">
      <c r="A317" s="91"/>
      <c r="B317" s="91"/>
      <c r="C317" s="91"/>
      <c r="D317" s="91"/>
      <c r="E317" s="91"/>
      <c r="F317" s="91"/>
      <c r="G317" s="91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</row>
    <row r="318" ht="12.75" customHeight="1">
      <c r="A318" s="91"/>
      <c r="B318" s="91"/>
      <c r="C318" s="91"/>
      <c r="D318" s="91"/>
      <c r="E318" s="91"/>
      <c r="F318" s="91"/>
      <c r="G318" s="91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</row>
    <row r="319" ht="12.75" customHeight="1">
      <c r="A319" s="91"/>
      <c r="B319" s="91"/>
      <c r="C319" s="91"/>
      <c r="D319" s="91"/>
      <c r="E319" s="91"/>
      <c r="F319" s="91"/>
      <c r="G319" s="91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</row>
    <row r="320" ht="12.75" customHeight="1">
      <c r="A320" s="91"/>
      <c r="B320" s="91"/>
      <c r="C320" s="91"/>
      <c r="D320" s="91"/>
      <c r="E320" s="91"/>
      <c r="F320" s="91"/>
      <c r="G320" s="91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</row>
    <row r="321" ht="12.75" customHeight="1">
      <c r="A321" s="91"/>
      <c r="B321" s="91"/>
      <c r="C321" s="91"/>
      <c r="D321" s="91"/>
      <c r="E321" s="91"/>
      <c r="F321" s="91"/>
      <c r="G321" s="91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</row>
    <row r="322" ht="12.75" customHeight="1">
      <c r="A322" s="91"/>
      <c r="B322" s="91"/>
      <c r="C322" s="91"/>
      <c r="D322" s="91"/>
      <c r="E322" s="91"/>
      <c r="F322" s="91"/>
      <c r="G322" s="91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</row>
    <row r="323" ht="12.75" customHeight="1">
      <c r="A323" s="91"/>
      <c r="B323" s="91"/>
      <c r="C323" s="91"/>
      <c r="D323" s="91"/>
      <c r="E323" s="91"/>
      <c r="F323" s="91"/>
      <c r="G323" s="91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</row>
    <row r="324" ht="12.75" customHeight="1">
      <c r="A324" s="91"/>
      <c r="B324" s="91"/>
      <c r="C324" s="91"/>
      <c r="D324" s="91"/>
      <c r="E324" s="91"/>
      <c r="F324" s="91"/>
      <c r="G324" s="91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</row>
    <row r="325" ht="12.75" customHeight="1">
      <c r="A325" s="91"/>
      <c r="B325" s="91"/>
      <c r="C325" s="91"/>
      <c r="D325" s="91"/>
      <c r="E325" s="91"/>
      <c r="F325" s="91"/>
      <c r="G325" s="91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</row>
    <row r="326" ht="12.75" customHeight="1">
      <c r="A326" s="91"/>
      <c r="B326" s="91"/>
      <c r="C326" s="91"/>
      <c r="D326" s="91"/>
      <c r="E326" s="91"/>
      <c r="F326" s="91"/>
      <c r="G326" s="91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</row>
    <row r="327" ht="12.75" customHeight="1">
      <c r="A327" s="91"/>
      <c r="B327" s="91"/>
      <c r="C327" s="91"/>
      <c r="D327" s="91"/>
      <c r="E327" s="91"/>
      <c r="F327" s="91"/>
      <c r="G327" s="91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</row>
    <row r="328" ht="12.75" customHeight="1">
      <c r="A328" s="91"/>
      <c r="B328" s="91"/>
      <c r="C328" s="91"/>
      <c r="D328" s="91"/>
      <c r="E328" s="91"/>
      <c r="F328" s="91"/>
      <c r="G328" s="91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</row>
    <row r="329" ht="12.75" customHeight="1">
      <c r="A329" s="91"/>
      <c r="B329" s="91"/>
      <c r="C329" s="91"/>
      <c r="D329" s="91"/>
      <c r="E329" s="91"/>
      <c r="F329" s="91"/>
      <c r="G329" s="91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</row>
    <row r="330" ht="12.75" customHeight="1">
      <c r="A330" s="91"/>
      <c r="B330" s="91"/>
      <c r="C330" s="91"/>
      <c r="D330" s="91"/>
      <c r="E330" s="91"/>
      <c r="F330" s="91"/>
      <c r="G330" s="91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</row>
    <row r="331" ht="12.75" customHeight="1">
      <c r="A331" s="91"/>
      <c r="B331" s="91"/>
      <c r="C331" s="91"/>
      <c r="D331" s="91"/>
      <c r="E331" s="91"/>
      <c r="F331" s="91"/>
      <c r="G331" s="91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</row>
    <row r="332" ht="12.75" customHeight="1">
      <c r="A332" s="91"/>
      <c r="B332" s="91"/>
      <c r="C332" s="91"/>
      <c r="D332" s="91"/>
      <c r="E332" s="91"/>
      <c r="F332" s="91"/>
      <c r="G332" s="91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</row>
    <row r="333" ht="12.75" customHeight="1">
      <c r="A333" s="91"/>
      <c r="B333" s="91"/>
      <c r="C333" s="91"/>
      <c r="D333" s="91"/>
      <c r="E333" s="91"/>
      <c r="F333" s="91"/>
      <c r="G333" s="91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</row>
    <row r="334" ht="12.75" customHeight="1">
      <c r="A334" s="91"/>
      <c r="B334" s="91"/>
      <c r="C334" s="91"/>
      <c r="D334" s="91"/>
      <c r="E334" s="91"/>
      <c r="F334" s="91"/>
      <c r="G334" s="91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</row>
    <row r="335" ht="12.75" customHeight="1">
      <c r="A335" s="91"/>
      <c r="B335" s="91"/>
      <c r="C335" s="91"/>
      <c r="D335" s="91"/>
      <c r="E335" s="91"/>
      <c r="F335" s="91"/>
      <c r="G335" s="91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</row>
    <row r="336" ht="12.75" customHeight="1">
      <c r="A336" s="91"/>
      <c r="B336" s="91"/>
      <c r="C336" s="91"/>
      <c r="D336" s="91"/>
      <c r="E336" s="91"/>
      <c r="F336" s="91"/>
      <c r="G336" s="91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</row>
    <row r="337" ht="12.75" customHeight="1">
      <c r="A337" s="91"/>
      <c r="B337" s="91"/>
      <c r="C337" s="91"/>
      <c r="D337" s="91"/>
      <c r="E337" s="91"/>
      <c r="F337" s="91"/>
      <c r="G337" s="91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</row>
    <row r="338" ht="12.75" customHeight="1">
      <c r="A338" s="91"/>
      <c r="B338" s="91"/>
      <c r="C338" s="91"/>
      <c r="D338" s="91"/>
      <c r="E338" s="91"/>
      <c r="F338" s="91"/>
      <c r="G338" s="91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</row>
    <row r="339" ht="12.75" customHeight="1">
      <c r="A339" s="91"/>
      <c r="B339" s="91"/>
      <c r="C339" s="91"/>
      <c r="D339" s="91"/>
      <c r="E339" s="91"/>
      <c r="F339" s="91"/>
      <c r="G339" s="91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</row>
    <row r="340" ht="12.75" customHeight="1">
      <c r="A340" s="91"/>
      <c r="B340" s="91"/>
      <c r="C340" s="91"/>
      <c r="D340" s="91"/>
      <c r="E340" s="91"/>
      <c r="F340" s="91"/>
      <c r="G340" s="91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</row>
    <row r="341" ht="12.75" customHeight="1">
      <c r="A341" s="91"/>
      <c r="B341" s="91"/>
      <c r="C341" s="91"/>
      <c r="D341" s="91"/>
      <c r="E341" s="91"/>
      <c r="F341" s="91"/>
      <c r="G341" s="91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</row>
    <row r="342" ht="12.75" customHeight="1">
      <c r="A342" s="91"/>
      <c r="B342" s="91"/>
      <c r="C342" s="91"/>
      <c r="D342" s="91"/>
      <c r="E342" s="91"/>
      <c r="F342" s="91"/>
      <c r="G342" s="91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</row>
    <row r="343" ht="12.75" customHeight="1">
      <c r="A343" s="91"/>
      <c r="B343" s="91"/>
      <c r="C343" s="91"/>
      <c r="D343" s="91"/>
      <c r="E343" s="91"/>
      <c r="F343" s="91"/>
      <c r="G343" s="91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</row>
    <row r="344" ht="12.75" customHeight="1">
      <c r="A344" s="91"/>
      <c r="B344" s="91"/>
      <c r="C344" s="91"/>
      <c r="D344" s="91"/>
      <c r="E344" s="91"/>
      <c r="F344" s="91"/>
      <c r="G344" s="91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</row>
    <row r="345" ht="12.75" customHeight="1">
      <c r="A345" s="91"/>
      <c r="B345" s="91"/>
      <c r="C345" s="91"/>
      <c r="D345" s="91"/>
      <c r="E345" s="91"/>
      <c r="F345" s="91"/>
      <c r="G345" s="91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</row>
    <row r="346" ht="12.75" customHeight="1">
      <c r="A346" s="91"/>
      <c r="B346" s="91"/>
      <c r="C346" s="91"/>
      <c r="D346" s="91"/>
      <c r="E346" s="91"/>
      <c r="F346" s="91"/>
      <c r="G346" s="91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</row>
    <row r="347" ht="12.75" customHeight="1">
      <c r="A347" s="91"/>
      <c r="B347" s="91"/>
      <c r="C347" s="91"/>
      <c r="D347" s="91"/>
      <c r="E347" s="91"/>
      <c r="F347" s="91"/>
      <c r="G347" s="91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</row>
    <row r="348" ht="12.75" customHeight="1">
      <c r="A348" s="91"/>
      <c r="B348" s="91"/>
      <c r="C348" s="91"/>
      <c r="D348" s="91"/>
      <c r="E348" s="91"/>
      <c r="F348" s="91"/>
      <c r="G348" s="91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</row>
    <row r="349" ht="12.75" customHeight="1">
      <c r="A349" s="91"/>
      <c r="B349" s="91"/>
      <c r="C349" s="91"/>
      <c r="D349" s="91"/>
      <c r="E349" s="91"/>
      <c r="F349" s="91"/>
      <c r="G349" s="91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</row>
    <row r="350" ht="12.75" customHeight="1">
      <c r="A350" s="91"/>
      <c r="B350" s="91"/>
      <c r="C350" s="91"/>
      <c r="D350" s="91"/>
      <c r="E350" s="91"/>
      <c r="F350" s="91"/>
      <c r="G350" s="91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</row>
    <row r="351" ht="12.75" customHeight="1">
      <c r="A351" s="91"/>
      <c r="B351" s="91"/>
      <c r="C351" s="91"/>
      <c r="D351" s="91"/>
      <c r="E351" s="91"/>
      <c r="F351" s="91"/>
      <c r="G351" s="91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</row>
    <row r="352" ht="12.75" customHeight="1">
      <c r="A352" s="91"/>
      <c r="B352" s="91"/>
      <c r="C352" s="91"/>
      <c r="D352" s="91"/>
      <c r="E352" s="91"/>
      <c r="F352" s="91"/>
      <c r="G352" s="91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</row>
    <row r="353" ht="12.75" customHeight="1">
      <c r="A353" s="91"/>
      <c r="B353" s="91"/>
      <c r="C353" s="91"/>
      <c r="D353" s="91"/>
      <c r="E353" s="91"/>
      <c r="F353" s="91"/>
      <c r="G353" s="91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</row>
    <row r="354" ht="12.75" customHeight="1">
      <c r="A354" s="91"/>
      <c r="B354" s="91"/>
      <c r="C354" s="91"/>
      <c r="D354" s="91"/>
      <c r="E354" s="91"/>
      <c r="F354" s="91"/>
      <c r="G354" s="91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</row>
    <row r="355" ht="12.75" customHeight="1">
      <c r="A355" s="91"/>
      <c r="B355" s="91"/>
      <c r="C355" s="91"/>
      <c r="D355" s="91"/>
      <c r="E355" s="91"/>
      <c r="F355" s="91"/>
      <c r="G355" s="91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</row>
    <row r="356" ht="12.75" customHeight="1">
      <c r="A356" s="91"/>
      <c r="B356" s="91"/>
      <c r="C356" s="91"/>
      <c r="D356" s="91"/>
      <c r="E356" s="91"/>
      <c r="F356" s="91"/>
      <c r="G356" s="91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</row>
    <row r="357" ht="12.75" customHeight="1">
      <c r="A357" s="91"/>
      <c r="B357" s="91"/>
      <c r="C357" s="91"/>
      <c r="D357" s="91"/>
      <c r="E357" s="91"/>
      <c r="F357" s="91"/>
      <c r="G357" s="91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</row>
    <row r="358" ht="12.75" customHeight="1">
      <c r="A358" s="91"/>
      <c r="B358" s="91"/>
      <c r="C358" s="91"/>
      <c r="D358" s="91"/>
      <c r="E358" s="91"/>
      <c r="F358" s="91"/>
      <c r="G358" s="91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</row>
    <row r="359" ht="12.75" customHeight="1">
      <c r="A359" s="91"/>
      <c r="B359" s="91"/>
      <c r="C359" s="91"/>
      <c r="D359" s="91"/>
      <c r="E359" s="91"/>
      <c r="F359" s="91"/>
      <c r="G359" s="91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</row>
    <row r="360" ht="12.75" customHeight="1">
      <c r="A360" s="91"/>
      <c r="B360" s="91"/>
      <c r="C360" s="91"/>
      <c r="D360" s="91"/>
      <c r="E360" s="91"/>
      <c r="F360" s="91"/>
      <c r="G360" s="91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</row>
    <row r="361" ht="12.75" customHeight="1">
      <c r="A361" s="91"/>
      <c r="B361" s="91"/>
      <c r="C361" s="91"/>
      <c r="D361" s="91"/>
      <c r="E361" s="91"/>
      <c r="F361" s="91"/>
      <c r="G361" s="91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</row>
    <row r="362" ht="12.75" customHeight="1">
      <c r="A362" s="91"/>
      <c r="B362" s="91"/>
      <c r="C362" s="91"/>
      <c r="D362" s="91"/>
      <c r="E362" s="91"/>
      <c r="F362" s="91"/>
      <c r="G362" s="91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</row>
    <row r="363" ht="12.75" customHeight="1">
      <c r="A363" s="91"/>
      <c r="B363" s="91"/>
      <c r="C363" s="91"/>
      <c r="D363" s="91"/>
      <c r="E363" s="91"/>
      <c r="F363" s="91"/>
      <c r="G363" s="91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</row>
    <row r="364" ht="12.75" customHeight="1">
      <c r="A364" s="91"/>
      <c r="B364" s="91"/>
      <c r="C364" s="91"/>
      <c r="D364" s="91"/>
      <c r="E364" s="91"/>
      <c r="F364" s="91"/>
      <c r="G364" s="91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</row>
    <row r="365" ht="12.75" customHeight="1">
      <c r="A365" s="91"/>
      <c r="B365" s="91"/>
      <c r="C365" s="91"/>
      <c r="D365" s="91"/>
      <c r="E365" s="91"/>
      <c r="F365" s="91"/>
      <c r="G365" s="91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</row>
    <row r="366" ht="12.75" customHeight="1">
      <c r="A366" s="91"/>
      <c r="B366" s="91"/>
      <c r="C366" s="91"/>
      <c r="D366" s="91"/>
      <c r="E366" s="91"/>
      <c r="F366" s="91"/>
      <c r="G366" s="91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</row>
    <row r="367" ht="12.75" customHeight="1">
      <c r="A367" s="91"/>
      <c r="B367" s="91"/>
      <c r="C367" s="91"/>
      <c r="D367" s="91"/>
      <c r="E367" s="91"/>
      <c r="F367" s="91"/>
      <c r="G367" s="91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</row>
    <row r="368" ht="12.75" customHeight="1">
      <c r="A368" s="91"/>
      <c r="B368" s="91"/>
      <c r="C368" s="91"/>
      <c r="D368" s="91"/>
      <c r="E368" s="91"/>
      <c r="F368" s="91"/>
      <c r="G368" s="91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</row>
    <row r="369" ht="12.75" customHeight="1">
      <c r="A369" s="91"/>
      <c r="B369" s="91"/>
      <c r="C369" s="91"/>
      <c r="D369" s="91"/>
      <c r="E369" s="91"/>
      <c r="F369" s="91"/>
      <c r="G369" s="91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</row>
    <row r="370" ht="12.75" customHeight="1">
      <c r="A370" s="91"/>
      <c r="B370" s="91"/>
      <c r="C370" s="91"/>
      <c r="D370" s="91"/>
      <c r="E370" s="91"/>
      <c r="F370" s="91"/>
      <c r="G370" s="91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</row>
    <row r="371" ht="12.75" customHeight="1">
      <c r="A371" s="91"/>
      <c r="B371" s="91"/>
      <c r="C371" s="91"/>
      <c r="D371" s="91"/>
      <c r="E371" s="91"/>
      <c r="F371" s="91"/>
      <c r="G371" s="91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</row>
    <row r="372" ht="12.75" customHeight="1">
      <c r="A372" s="91"/>
      <c r="B372" s="91"/>
      <c r="C372" s="91"/>
      <c r="D372" s="91"/>
      <c r="E372" s="91"/>
      <c r="F372" s="91"/>
      <c r="G372" s="91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</row>
    <row r="373" ht="12.75" customHeight="1">
      <c r="A373" s="91"/>
      <c r="B373" s="91"/>
      <c r="C373" s="91"/>
      <c r="D373" s="91"/>
      <c r="E373" s="91"/>
      <c r="F373" s="91"/>
      <c r="G373" s="91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</row>
    <row r="374" ht="12.75" customHeight="1">
      <c r="A374" s="91"/>
      <c r="B374" s="91"/>
      <c r="C374" s="91"/>
      <c r="D374" s="91"/>
      <c r="E374" s="91"/>
      <c r="F374" s="91"/>
      <c r="G374" s="91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</row>
    <row r="375" ht="12.75" customHeight="1">
      <c r="A375" s="91"/>
      <c r="B375" s="91"/>
      <c r="C375" s="91"/>
      <c r="D375" s="91"/>
      <c r="E375" s="91"/>
      <c r="F375" s="91"/>
      <c r="G375" s="91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</row>
    <row r="376" ht="12.75" customHeight="1">
      <c r="A376" s="91"/>
      <c r="B376" s="91"/>
      <c r="C376" s="91"/>
      <c r="D376" s="91"/>
      <c r="E376" s="91"/>
      <c r="F376" s="91"/>
      <c r="G376" s="91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</row>
    <row r="377" ht="12.75" customHeight="1">
      <c r="A377" s="91"/>
      <c r="B377" s="91"/>
      <c r="C377" s="91"/>
      <c r="D377" s="91"/>
      <c r="E377" s="91"/>
      <c r="F377" s="91"/>
      <c r="G377" s="91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</row>
    <row r="378" ht="12.75" customHeight="1">
      <c r="A378" s="91"/>
      <c r="B378" s="91"/>
      <c r="C378" s="91"/>
      <c r="D378" s="91"/>
      <c r="E378" s="91"/>
      <c r="F378" s="91"/>
      <c r="G378" s="91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</row>
    <row r="379" ht="12.75" customHeight="1">
      <c r="A379" s="91"/>
      <c r="B379" s="91"/>
      <c r="C379" s="91"/>
      <c r="D379" s="91"/>
      <c r="E379" s="91"/>
      <c r="F379" s="91"/>
      <c r="G379" s="91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</row>
    <row r="380" ht="12.75" customHeight="1">
      <c r="A380" s="91"/>
      <c r="B380" s="91"/>
      <c r="C380" s="91"/>
      <c r="D380" s="91"/>
      <c r="E380" s="91"/>
      <c r="F380" s="91"/>
      <c r="G380" s="91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</row>
    <row r="381" ht="12.75" customHeight="1">
      <c r="A381" s="91"/>
      <c r="B381" s="91"/>
      <c r="C381" s="91"/>
      <c r="D381" s="91"/>
      <c r="E381" s="91"/>
      <c r="F381" s="91"/>
      <c r="G381" s="91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</row>
    <row r="382" ht="12.75" customHeight="1">
      <c r="A382" s="91"/>
      <c r="B382" s="91"/>
      <c r="C382" s="91"/>
      <c r="D382" s="91"/>
      <c r="E382" s="91"/>
      <c r="F382" s="91"/>
      <c r="G382" s="91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</row>
    <row r="383" ht="12.75" customHeight="1">
      <c r="A383" s="91"/>
      <c r="B383" s="91"/>
      <c r="C383" s="91"/>
      <c r="D383" s="91"/>
      <c r="E383" s="91"/>
      <c r="F383" s="91"/>
      <c r="G383" s="91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</row>
    <row r="384" ht="12.75" customHeight="1">
      <c r="A384" s="91"/>
      <c r="B384" s="91"/>
      <c r="C384" s="91"/>
      <c r="D384" s="91"/>
      <c r="E384" s="91"/>
      <c r="F384" s="91"/>
      <c r="G384" s="91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</row>
    <row r="385" ht="12.75" customHeight="1">
      <c r="A385" s="91"/>
      <c r="B385" s="91"/>
      <c r="C385" s="91"/>
      <c r="D385" s="91"/>
      <c r="E385" s="91"/>
      <c r="F385" s="91"/>
      <c r="G385" s="91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</row>
    <row r="386" ht="12.75" customHeight="1">
      <c r="A386" s="91"/>
      <c r="B386" s="91"/>
      <c r="C386" s="91"/>
      <c r="D386" s="91"/>
      <c r="E386" s="91"/>
      <c r="F386" s="91"/>
      <c r="G386" s="91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</row>
    <row r="387" ht="12.75" customHeight="1">
      <c r="A387" s="91"/>
      <c r="B387" s="91"/>
      <c r="C387" s="91"/>
      <c r="D387" s="91"/>
      <c r="E387" s="91"/>
      <c r="F387" s="91"/>
      <c r="G387" s="91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</row>
    <row r="388" ht="12.75" customHeight="1">
      <c r="A388" s="91"/>
      <c r="B388" s="91"/>
      <c r="C388" s="91"/>
      <c r="D388" s="91"/>
      <c r="E388" s="91"/>
      <c r="F388" s="91"/>
      <c r="G388" s="91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</row>
    <row r="389" ht="12.75" customHeight="1">
      <c r="A389" s="91"/>
      <c r="B389" s="91"/>
      <c r="C389" s="91"/>
      <c r="D389" s="91"/>
      <c r="E389" s="91"/>
      <c r="F389" s="91"/>
      <c r="G389" s="91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</row>
    <row r="390" ht="12.75" customHeight="1">
      <c r="A390" s="91"/>
      <c r="B390" s="91"/>
      <c r="C390" s="91"/>
      <c r="D390" s="91"/>
      <c r="E390" s="91"/>
      <c r="F390" s="91"/>
      <c r="G390" s="91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</row>
    <row r="391" ht="12.75" customHeight="1">
      <c r="A391" s="91"/>
      <c r="B391" s="91"/>
      <c r="C391" s="91"/>
      <c r="D391" s="91"/>
      <c r="E391" s="91"/>
      <c r="F391" s="91"/>
      <c r="G391" s="91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</row>
    <row r="392" ht="12.75" customHeight="1">
      <c r="A392" s="91"/>
      <c r="B392" s="91"/>
      <c r="C392" s="91"/>
      <c r="D392" s="91"/>
      <c r="E392" s="91"/>
      <c r="F392" s="91"/>
      <c r="G392" s="91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</row>
    <row r="393" ht="12.75" customHeight="1">
      <c r="A393" s="91"/>
      <c r="B393" s="91"/>
      <c r="C393" s="91"/>
      <c r="D393" s="91"/>
      <c r="E393" s="91"/>
      <c r="F393" s="91"/>
      <c r="G393" s="91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</row>
    <row r="394" ht="12.75" customHeight="1">
      <c r="A394" s="91"/>
      <c r="B394" s="91"/>
      <c r="C394" s="91"/>
      <c r="D394" s="91"/>
      <c r="E394" s="91"/>
      <c r="F394" s="91"/>
      <c r="G394" s="91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</row>
    <row r="395" ht="12.75" customHeight="1">
      <c r="A395" s="91"/>
      <c r="B395" s="91"/>
      <c r="C395" s="91"/>
      <c r="D395" s="91"/>
      <c r="E395" s="91"/>
      <c r="F395" s="91"/>
      <c r="G395" s="91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</row>
    <row r="396" ht="12.75" customHeight="1">
      <c r="A396" s="91"/>
      <c r="B396" s="91"/>
      <c r="C396" s="91"/>
      <c r="D396" s="91"/>
      <c r="E396" s="91"/>
      <c r="F396" s="91"/>
      <c r="G396" s="91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</row>
    <row r="397" ht="12.75" customHeight="1">
      <c r="A397" s="91"/>
      <c r="B397" s="91"/>
      <c r="C397" s="91"/>
      <c r="D397" s="91"/>
      <c r="E397" s="91"/>
      <c r="F397" s="91"/>
      <c r="G397" s="91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</row>
    <row r="398" ht="12.75" customHeight="1">
      <c r="A398" s="91"/>
      <c r="B398" s="91"/>
      <c r="C398" s="91"/>
      <c r="D398" s="91"/>
      <c r="E398" s="91"/>
      <c r="F398" s="91"/>
      <c r="G398" s="91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</row>
    <row r="399" ht="12.75" customHeight="1">
      <c r="A399" s="91"/>
      <c r="B399" s="91"/>
      <c r="C399" s="91"/>
      <c r="D399" s="91"/>
      <c r="E399" s="91"/>
      <c r="F399" s="91"/>
      <c r="G399" s="91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</row>
    <row r="400" ht="12.75" customHeight="1">
      <c r="A400" s="91"/>
      <c r="B400" s="91"/>
      <c r="C400" s="91"/>
      <c r="D400" s="91"/>
      <c r="E400" s="91"/>
      <c r="F400" s="91"/>
      <c r="G400" s="91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</row>
    <row r="401" ht="12.75" customHeight="1">
      <c r="A401" s="91"/>
      <c r="B401" s="91"/>
      <c r="C401" s="91"/>
      <c r="D401" s="91"/>
      <c r="E401" s="91"/>
      <c r="F401" s="91"/>
      <c r="G401" s="91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</row>
    <row r="402" ht="12.75" customHeight="1">
      <c r="A402" s="91"/>
      <c r="B402" s="91"/>
      <c r="C402" s="91"/>
      <c r="D402" s="91"/>
      <c r="E402" s="91"/>
      <c r="F402" s="91"/>
      <c r="G402" s="91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</row>
    <row r="403" ht="12.75" customHeight="1">
      <c r="A403" s="91"/>
      <c r="B403" s="91"/>
      <c r="C403" s="91"/>
      <c r="D403" s="91"/>
      <c r="E403" s="91"/>
      <c r="F403" s="91"/>
      <c r="G403" s="91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</row>
    <row r="404" ht="12.75" customHeight="1">
      <c r="A404" s="91"/>
      <c r="B404" s="91"/>
      <c r="C404" s="91"/>
      <c r="D404" s="91"/>
      <c r="E404" s="91"/>
      <c r="F404" s="91"/>
      <c r="G404" s="91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</row>
    <row r="405" ht="12.75" customHeight="1">
      <c r="A405" s="91"/>
      <c r="B405" s="91"/>
      <c r="C405" s="91"/>
      <c r="D405" s="91"/>
      <c r="E405" s="91"/>
      <c r="F405" s="91"/>
      <c r="G405" s="91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</row>
    <row r="406" ht="12.75" customHeight="1">
      <c r="A406" s="91"/>
      <c r="B406" s="91"/>
      <c r="C406" s="91"/>
      <c r="D406" s="91"/>
      <c r="E406" s="91"/>
      <c r="F406" s="91"/>
      <c r="G406" s="91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</row>
    <row r="407" ht="12.75" customHeight="1">
      <c r="A407" s="91"/>
      <c r="B407" s="91"/>
      <c r="C407" s="91"/>
      <c r="D407" s="91"/>
      <c r="E407" s="91"/>
      <c r="F407" s="91"/>
      <c r="G407" s="91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</row>
    <row r="408" ht="12.75" customHeight="1">
      <c r="A408" s="91"/>
      <c r="B408" s="91"/>
      <c r="C408" s="91"/>
      <c r="D408" s="91"/>
      <c r="E408" s="91"/>
      <c r="F408" s="91"/>
      <c r="G408" s="91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</row>
    <row r="409" ht="12.75" customHeight="1">
      <c r="A409" s="91"/>
      <c r="B409" s="91"/>
      <c r="C409" s="91"/>
      <c r="D409" s="91"/>
      <c r="E409" s="91"/>
      <c r="F409" s="91"/>
      <c r="G409" s="91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</row>
    <row r="410" ht="12.75" customHeight="1">
      <c r="A410" s="91"/>
      <c r="B410" s="91"/>
      <c r="C410" s="91"/>
      <c r="D410" s="91"/>
      <c r="E410" s="91"/>
      <c r="F410" s="91"/>
      <c r="G410" s="91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</row>
    <row r="411" ht="12.75" customHeight="1">
      <c r="A411" s="91"/>
      <c r="B411" s="91"/>
      <c r="C411" s="91"/>
      <c r="D411" s="91"/>
      <c r="E411" s="91"/>
      <c r="F411" s="91"/>
      <c r="G411" s="91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</row>
    <row r="412" ht="12.75" customHeight="1">
      <c r="A412" s="91"/>
      <c r="B412" s="91"/>
      <c r="C412" s="91"/>
      <c r="D412" s="91"/>
      <c r="E412" s="91"/>
      <c r="F412" s="91"/>
      <c r="G412" s="91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</row>
    <row r="413" ht="12.75" customHeight="1">
      <c r="A413" s="91"/>
      <c r="B413" s="91"/>
      <c r="C413" s="91"/>
      <c r="D413" s="91"/>
      <c r="E413" s="91"/>
      <c r="F413" s="91"/>
      <c r="G413" s="91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</row>
    <row r="414" ht="12.75" customHeight="1">
      <c r="A414" s="91"/>
      <c r="B414" s="91"/>
      <c r="C414" s="91"/>
      <c r="D414" s="91"/>
      <c r="E414" s="91"/>
      <c r="F414" s="91"/>
      <c r="G414" s="91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</row>
    <row r="415" ht="12.75" customHeight="1">
      <c r="A415" s="91"/>
      <c r="B415" s="91"/>
      <c r="C415" s="91"/>
      <c r="D415" s="91"/>
      <c r="E415" s="91"/>
      <c r="F415" s="91"/>
      <c r="G415" s="91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</row>
    <row r="416" ht="12.75" customHeight="1">
      <c r="A416" s="91"/>
      <c r="B416" s="91"/>
      <c r="C416" s="91"/>
      <c r="D416" s="91"/>
      <c r="E416" s="91"/>
      <c r="F416" s="91"/>
      <c r="G416" s="91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</row>
    <row r="417" ht="12.75" customHeight="1">
      <c r="A417" s="91"/>
      <c r="B417" s="91"/>
      <c r="C417" s="91"/>
      <c r="D417" s="91"/>
      <c r="E417" s="91"/>
      <c r="F417" s="91"/>
      <c r="G417" s="91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</row>
    <row r="418" ht="12.75" customHeight="1">
      <c r="A418" s="91"/>
      <c r="B418" s="91"/>
      <c r="C418" s="91"/>
      <c r="D418" s="91"/>
      <c r="E418" s="91"/>
      <c r="F418" s="91"/>
      <c r="G418" s="91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</row>
    <row r="419" ht="12.75" customHeight="1">
      <c r="A419" s="91"/>
      <c r="B419" s="91"/>
      <c r="C419" s="91"/>
      <c r="D419" s="91"/>
      <c r="E419" s="91"/>
      <c r="F419" s="91"/>
      <c r="G419" s="91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</row>
    <row r="420" ht="12.75" customHeight="1">
      <c r="A420" s="91"/>
      <c r="B420" s="91"/>
      <c r="C420" s="91"/>
      <c r="D420" s="91"/>
      <c r="E420" s="91"/>
      <c r="F420" s="91"/>
      <c r="G420" s="91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</row>
    <row r="421" ht="12.75" customHeight="1">
      <c r="A421" s="91"/>
      <c r="B421" s="91"/>
      <c r="C421" s="91"/>
      <c r="D421" s="91"/>
      <c r="E421" s="91"/>
      <c r="F421" s="91"/>
      <c r="G421" s="91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</row>
    <row r="422" ht="12.75" customHeight="1">
      <c r="A422" s="91"/>
      <c r="B422" s="91"/>
      <c r="C422" s="91"/>
      <c r="D422" s="91"/>
      <c r="E422" s="91"/>
      <c r="F422" s="91"/>
      <c r="G422" s="91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</row>
    <row r="423" ht="12.75" customHeight="1">
      <c r="A423" s="91"/>
      <c r="B423" s="91"/>
      <c r="C423" s="91"/>
      <c r="D423" s="91"/>
      <c r="E423" s="91"/>
      <c r="F423" s="91"/>
      <c r="G423" s="91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</row>
    <row r="424" ht="12.75" customHeight="1">
      <c r="A424" s="91"/>
      <c r="B424" s="91"/>
      <c r="C424" s="91"/>
      <c r="D424" s="91"/>
      <c r="E424" s="91"/>
      <c r="F424" s="91"/>
      <c r="G424" s="91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</row>
    <row r="425" ht="12.75" customHeight="1">
      <c r="A425" s="91"/>
      <c r="B425" s="91"/>
      <c r="C425" s="91"/>
      <c r="D425" s="91"/>
      <c r="E425" s="91"/>
      <c r="F425" s="91"/>
      <c r="G425" s="91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</row>
    <row r="426" ht="12.75" customHeight="1">
      <c r="A426" s="91"/>
      <c r="B426" s="91"/>
      <c r="C426" s="91"/>
      <c r="D426" s="91"/>
      <c r="E426" s="91"/>
      <c r="F426" s="91"/>
      <c r="G426" s="91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</row>
    <row r="427" ht="12.75" customHeight="1">
      <c r="A427" s="91"/>
      <c r="B427" s="91"/>
      <c r="C427" s="91"/>
      <c r="D427" s="91"/>
      <c r="E427" s="91"/>
      <c r="F427" s="91"/>
      <c r="G427" s="91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</row>
    <row r="428" ht="12.75" customHeight="1">
      <c r="A428" s="91"/>
      <c r="B428" s="91"/>
      <c r="C428" s="91"/>
      <c r="D428" s="91"/>
      <c r="E428" s="91"/>
      <c r="F428" s="91"/>
      <c r="G428" s="91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</row>
    <row r="429" ht="12.75" customHeight="1">
      <c r="A429" s="91"/>
      <c r="B429" s="91"/>
      <c r="C429" s="91"/>
      <c r="D429" s="91"/>
      <c r="E429" s="91"/>
      <c r="F429" s="91"/>
      <c r="G429" s="91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</row>
    <row r="430" ht="12.75" customHeight="1">
      <c r="A430" s="91"/>
      <c r="B430" s="91"/>
      <c r="C430" s="91"/>
      <c r="D430" s="91"/>
      <c r="E430" s="91"/>
      <c r="F430" s="91"/>
      <c r="G430" s="91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</row>
    <row r="431" ht="12.75" customHeight="1">
      <c r="A431" s="91"/>
      <c r="B431" s="91"/>
      <c r="C431" s="91"/>
      <c r="D431" s="91"/>
      <c r="E431" s="91"/>
      <c r="F431" s="91"/>
      <c r="G431" s="91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</row>
    <row r="432" ht="12.75" customHeight="1">
      <c r="A432" s="91"/>
      <c r="B432" s="91"/>
      <c r="C432" s="91"/>
      <c r="D432" s="91"/>
      <c r="E432" s="91"/>
      <c r="F432" s="91"/>
      <c r="G432" s="91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</row>
    <row r="433" ht="12.75" customHeight="1">
      <c r="A433" s="91"/>
      <c r="B433" s="91"/>
      <c r="C433" s="91"/>
      <c r="D433" s="91"/>
      <c r="E433" s="91"/>
      <c r="F433" s="91"/>
      <c r="G433" s="91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</row>
    <row r="434" ht="12.75" customHeight="1">
      <c r="A434" s="91"/>
      <c r="B434" s="91"/>
      <c r="C434" s="91"/>
      <c r="D434" s="91"/>
      <c r="E434" s="91"/>
      <c r="F434" s="91"/>
      <c r="G434" s="91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</row>
    <row r="435" ht="12.75" customHeight="1">
      <c r="A435" s="91"/>
      <c r="B435" s="91"/>
      <c r="C435" s="91"/>
      <c r="D435" s="91"/>
      <c r="E435" s="91"/>
      <c r="F435" s="91"/>
      <c r="G435" s="91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</row>
    <row r="436" ht="12.75" customHeight="1">
      <c r="A436" s="91"/>
      <c r="B436" s="91"/>
      <c r="C436" s="91"/>
      <c r="D436" s="91"/>
      <c r="E436" s="91"/>
      <c r="F436" s="91"/>
      <c r="G436" s="91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</row>
    <row r="437" ht="12.75" customHeight="1">
      <c r="A437" s="91"/>
      <c r="B437" s="91"/>
      <c r="C437" s="91"/>
      <c r="D437" s="91"/>
      <c r="E437" s="91"/>
      <c r="F437" s="91"/>
      <c r="G437" s="91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</row>
    <row r="438" ht="12.75" customHeight="1">
      <c r="A438" s="91"/>
      <c r="B438" s="91"/>
      <c r="C438" s="91"/>
      <c r="D438" s="91"/>
      <c r="E438" s="91"/>
      <c r="F438" s="91"/>
      <c r="G438" s="91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</row>
    <row r="439" ht="12.75" customHeight="1">
      <c r="A439" s="91"/>
      <c r="B439" s="91"/>
      <c r="C439" s="91"/>
      <c r="D439" s="91"/>
      <c r="E439" s="91"/>
      <c r="F439" s="91"/>
      <c r="G439" s="91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</row>
    <row r="440" ht="12.75" customHeight="1">
      <c r="A440" s="91"/>
      <c r="B440" s="91"/>
      <c r="C440" s="91"/>
      <c r="D440" s="91"/>
      <c r="E440" s="91"/>
      <c r="F440" s="91"/>
      <c r="G440" s="91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</row>
    <row r="441" ht="12.75" customHeight="1">
      <c r="A441" s="91"/>
      <c r="B441" s="91"/>
      <c r="C441" s="91"/>
      <c r="D441" s="91"/>
      <c r="E441" s="91"/>
      <c r="F441" s="91"/>
      <c r="G441" s="91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</row>
    <row r="442" ht="12.75" customHeight="1">
      <c r="A442" s="91"/>
      <c r="B442" s="91"/>
      <c r="C442" s="91"/>
      <c r="D442" s="91"/>
      <c r="E442" s="91"/>
      <c r="F442" s="91"/>
      <c r="G442" s="91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</row>
    <row r="443" ht="12.75" customHeight="1">
      <c r="A443" s="91"/>
      <c r="B443" s="91"/>
      <c r="C443" s="91"/>
      <c r="D443" s="91"/>
      <c r="E443" s="91"/>
      <c r="F443" s="91"/>
      <c r="G443" s="91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</row>
    <row r="444" ht="12.75" customHeight="1">
      <c r="A444" s="91"/>
      <c r="B444" s="91"/>
      <c r="C444" s="91"/>
      <c r="D444" s="91"/>
      <c r="E444" s="91"/>
      <c r="F444" s="91"/>
      <c r="G444" s="91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</row>
    <row r="445" ht="12.75" customHeight="1">
      <c r="A445" s="91"/>
      <c r="B445" s="91"/>
      <c r="C445" s="91"/>
      <c r="D445" s="91"/>
      <c r="E445" s="91"/>
      <c r="F445" s="91"/>
      <c r="G445" s="91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</row>
    <row r="446" ht="12.75" customHeight="1">
      <c r="A446" s="91"/>
      <c r="B446" s="91"/>
      <c r="C446" s="91"/>
      <c r="D446" s="91"/>
      <c r="E446" s="91"/>
      <c r="F446" s="91"/>
      <c r="G446" s="91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</row>
    <row r="447" ht="12.75" customHeight="1">
      <c r="A447" s="91"/>
      <c r="B447" s="91"/>
      <c r="C447" s="91"/>
      <c r="D447" s="91"/>
      <c r="E447" s="91"/>
      <c r="F447" s="91"/>
      <c r="G447" s="91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</row>
    <row r="448" ht="12.75" customHeight="1">
      <c r="A448" s="91"/>
      <c r="B448" s="91"/>
      <c r="C448" s="91"/>
      <c r="D448" s="91"/>
      <c r="E448" s="91"/>
      <c r="F448" s="91"/>
      <c r="G448" s="91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</row>
    <row r="449" ht="12.75" customHeight="1">
      <c r="A449" s="91"/>
      <c r="B449" s="91"/>
      <c r="C449" s="91"/>
      <c r="D449" s="91"/>
      <c r="E449" s="91"/>
      <c r="F449" s="91"/>
      <c r="G449" s="91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</row>
    <row r="450" ht="12.75" customHeight="1">
      <c r="A450" s="91"/>
      <c r="B450" s="91"/>
      <c r="C450" s="91"/>
      <c r="D450" s="91"/>
      <c r="E450" s="91"/>
      <c r="F450" s="91"/>
      <c r="G450" s="91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</row>
    <row r="451" ht="12.75" customHeight="1">
      <c r="A451" s="91"/>
      <c r="B451" s="91"/>
      <c r="C451" s="91"/>
      <c r="D451" s="91"/>
      <c r="E451" s="91"/>
      <c r="F451" s="91"/>
      <c r="G451" s="91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</row>
    <row r="452" ht="12.75" customHeight="1">
      <c r="A452" s="91"/>
      <c r="B452" s="91"/>
      <c r="C452" s="91"/>
      <c r="D452" s="91"/>
      <c r="E452" s="91"/>
      <c r="F452" s="91"/>
      <c r="G452" s="91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</row>
    <row r="453" ht="12.75" customHeight="1">
      <c r="A453" s="91"/>
      <c r="B453" s="91"/>
      <c r="C453" s="91"/>
      <c r="D453" s="91"/>
      <c r="E453" s="91"/>
      <c r="F453" s="91"/>
      <c r="G453" s="91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</row>
    <row r="454" ht="12.75" customHeight="1">
      <c r="A454" s="91"/>
      <c r="B454" s="91"/>
      <c r="C454" s="91"/>
      <c r="D454" s="91"/>
      <c r="E454" s="91"/>
      <c r="F454" s="91"/>
      <c r="G454" s="91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</row>
    <row r="455" ht="12.75" customHeight="1">
      <c r="A455" s="91"/>
      <c r="B455" s="91"/>
      <c r="C455" s="91"/>
      <c r="D455" s="91"/>
      <c r="E455" s="91"/>
      <c r="F455" s="91"/>
      <c r="G455" s="91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</row>
    <row r="456" ht="12.75" customHeight="1">
      <c r="A456" s="91"/>
      <c r="B456" s="91"/>
      <c r="C456" s="91"/>
      <c r="D456" s="91"/>
      <c r="E456" s="91"/>
      <c r="F456" s="91"/>
      <c r="G456" s="91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</row>
    <row r="457" ht="12.75" customHeight="1">
      <c r="A457" s="91"/>
      <c r="B457" s="91"/>
      <c r="C457" s="91"/>
      <c r="D457" s="91"/>
      <c r="E457" s="91"/>
      <c r="F457" s="91"/>
      <c r="G457" s="91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</row>
    <row r="458" ht="12.75" customHeight="1">
      <c r="A458" s="91"/>
      <c r="B458" s="91"/>
      <c r="C458" s="91"/>
      <c r="D458" s="91"/>
      <c r="E458" s="91"/>
      <c r="F458" s="91"/>
      <c r="G458" s="91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</row>
    <row r="459" ht="12.75" customHeight="1">
      <c r="A459" s="91"/>
      <c r="B459" s="91"/>
      <c r="C459" s="91"/>
      <c r="D459" s="91"/>
      <c r="E459" s="91"/>
      <c r="F459" s="91"/>
      <c r="G459" s="91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</row>
    <row r="460" ht="12.75" customHeight="1">
      <c r="A460" s="91"/>
      <c r="B460" s="91"/>
      <c r="C460" s="91"/>
      <c r="D460" s="91"/>
      <c r="E460" s="91"/>
      <c r="F460" s="91"/>
      <c r="G460" s="91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</row>
    <row r="461" ht="12.75" customHeight="1">
      <c r="A461" s="91"/>
      <c r="B461" s="91"/>
      <c r="C461" s="91"/>
      <c r="D461" s="91"/>
      <c r="E461" s="91"/>
      <c r="F461" s="91"/>
      <c r="G461" s="91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</row>
    <row r="462" ht="12.75" customHeight="1">
      <c r="A462" s="91"/>
      <c r="B462" s="91"/>
      <c r="C462" s="91"/>
      <c r="D462" s="91"/>
      <c r="E462" s="91"/>
      <c r="F462" s="91"/>
      <c r="G462" s="91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</row>
    <row r="463" ht="12.75" customHeight="1">
      <c r="A463" s="91"/>
      <c r="B463" s="91"/>
      <c r="C463" s="91"/>
      <c r="D463" s="91"/>
      <c r="E463" s="91"/>
      <c r="F463" s="91"/>
      <c r="G463" s="91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</row>
    <row r="464" ht="12.75" customHeight="1">
      <c r="A464" s="91"/>
      <c r="B464" s="91"/>
      <c r="C464" s="91"/>
      <c r="D464" s="91"/>
      <c r="E464" s="91"/>
      <c r="F464" s="91"/>
      <c r="G464" s="91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</row>
    <row r="465" ht="12.75" customHeight="1">
      <c r="A465" s="91"/>
      <c r="B465" s="91"/>
      <c r="C465" s="91"/>
      <c r="D465" s="91"/>
      <c r="E465" s="91"/>
      <c r="F465" s="91"/>
      <c r="G465" s="91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</row>
    <row r="466" ht="12.75" customHeight="1">
      <c r="A466" s="91"/>
      <c r="B466" s="91"/>
      <c r="C466" s="91"/>
      <c r="D466" s="91"/>
      <c r="E466" s="91"/>
      <c r="F466" s="91"/>
      <c r="G466" s="91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</row>
    <row r="467" ht="12.75" customHeight="1">
      <c r="A467" s="91"/>
      <c r="B467" s="91"/>
      <c r="C467" s="91"/>
      <c r="D467" s="91"/>
      <c r="E467" s="91"/>
      <c r="F467" s="91"/>
      <c r="G467" s="91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</row>
    <row r="468" ht="12.75" customHeight="1">
      <c r="A468" s="91"/>
      <c r="B468" s="91"/>
      <c r="C468" s="91"/>
      <c r="D468" s="91"/>
      <c r="E468" s="91"/>
      <c r="F468" s="91"/>
      <c r="G468" s="91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</row>
    <row r="469" ht="12.75" customHeight="1">
      <c r="A469" s="91"/>
      <c r="B469" s="91"/>
      <c r="C469" s="91"/>
      <c r="D469" s="91"/>
      <c r="E469" s="91"/>
      <c r="F469" s="91"/>
      <c r="G469" s="91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</row>
    <row r="470" ht="12.75" customHeight="1">
      <c r="A470" s="91"/>
      <c r="B470" s="91"/>
      <c r="C470" s="91"/>
      <c r="D470" s="91"/>
      <c r="E470" s="91"/>
      <c r="F470" s="91"/>
      <c r="G470" s="91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</row>
    <row r="471" ht="12.75" customHeight="1">
      <c r="A471" s="91"/>
      <c r="B471" s="91"/>
      <c r="C471" s="91"/>
      <c r="D471" s="91"/>
      <c r="E471" s="91"/>
      <c r="F471" s="91"/>
      <c r="G471" s="91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</row>
    <row r="472" ht="12.75" customHeight="1">
      <c r="A472" s="91"/>
      <c r="B472" s="91"/>
      <c r="C472" s="91"/>
      <c r="D472" s="91"/>
      <c r="E472" s="91"/>
      <c r="F472" s="91"/>
      <c r="G472" s="91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</row>
    <row r="473" ht="12.75" customHeight="1">
      <c r="A473" s="91"/>
      <c r="B473" s="91"/>
      <c r="C473" s="91"/>
      <c r="D473" s="91"/>
      <c r="E473" s="91"/>
      <c r="F473" s="91"/>
      <c r="G473" s="91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</row>
    <row r="474" ht="12.75" customHeight="1">
      <c r="A474" s="91"/>
      <c r="B474" s="91"/>
      <c r="C474" s="91"/>
      <c r="D474" s="91"/>
      <c r="E474" s="91"/>
      <c r="F474" s="91"/>
      <c r="G474" s="91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</row>
    <row r="475" ht="12.75" customHeight="1">
      <c r="A475" s="91"/>
      <c r="B475" s="91"/>
      <c r="C475" s="91"/>
      <c r="D475" s="91"/>
      <c r="E475" s="91"/>
      <c r="F475" s="91"/>
      <c r="G475" s="91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</row>
    <row r="476" ht="12.75" customHeight="1">
      <c r="A476" s="91"/>
      <c r="B476" s="91"/>
      <c r="C476" s="91"/>
      <c r="D476" s="91"/>
      <c r="E476" s="91"/>
      <c r="F476" s="91"/>
      <c r="G476" s="91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</row>
    <row r="477" ht="12.75" customHeight="1">
      <c r="A477" s="91"/>
      <c r="B477" s="91"/>
      <c r="C477" s="91"/>
      <c r="D477" s="91"/>
      <c r="E477" s="91"/>
      <c r="F477" s="91"/>
      <c r="G477" s="91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</row>
    <row r="478" ht="12.75" customHeight="1">
      <c r="A478" s="91"/>
      <c r="B478" s="91"/>
      <c r="C478" s="91"/>
      <c r="D478" s="91"/>
      <c r="E478" s="91"/>
      <c r="F478" s="91"/>
      <c r="G478" s="91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</row>
    <row r="479" ht="12.75" customHeight="1">
      <c r="A479" s="91"/>
      <c r="B479" s="91"/>
      <c r="C479" s="91"/>
      <c r="D479" s="91"/>
      <c r="E479" s="91"/>
      <c r="F479" s="91"/>
      <c r="G479" s="91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</row>
    <row r="480" ht="12.75" customHeight="1">
      <c r="A480" s="91"/>
      <c r="B480" s="91"/>
      <c r="C480" s="91"/>
      <c r="D480" s="91"/>
      <c r="E480" s="91"/>
      <c r="F480" s="91"/>
      <c r="G480" s="91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</row>
    <row r="481" ht="12.75" customHeight="1">
      <c r="A481" s="91"/>
      <c r="B481" s="91"/>
      <c r="C481" s="91"/>
      <c r="D481" s="91"/>
      <c r="E481" s="91"/>
      <c r="F481" s="91"/>
      <c r="G481" s="91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</row>
    <row r="482" ht="12.75" customHeight="1">
      <c r="A482" s="91"/>
      <c r="B482" s="91"/>
      <c r="C482" s="91"/>
      <c r="D482" s="91"/>
      <c r="E482" s="91"/>
      <c r="F482" s="91"/>
      <c r="G482" s="91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</row>
    <row r="483" ht="12.75" customHeight="1">
      <c r="A483" s="91"/>
      <c r="B483" s="91"/>
      <c r="C483" s="91"/>
      <c r="D483" s="91"/>
      <c r="E483" s="91"/>
      <c r="F483" s="91"/>
      <c r="G483" s="91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</row>
    <row r="484" ht="12.75" customHeight="1">
      <c r="A484" s="91"/>
      <c r="B484" s="91"/>
      <c r="C484" s="91"/>
      <c r="D484" s="91"/>
      <c r="E484" s="91"/>
      <c r="F484" s="91"/>
      <c r="G484" s="91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</row>
    <row r="485" ht="12.75" customHeight="1">
      <c r="A485" s="91"/>
      <c r="B485" s="91"/>
      <c r="C485" s="91"/>
      <c r="D485" s="91"/>
      <c r="E485" s="91"/>
      <c r="F485" s="91"/>
      <c r="G485" s="91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</row>
    <row r="486" ht="12.75" customHeight="1">
      <c r="A486" s="91"/>
      <c r="B486" s="91"/>
      <c r="C486" s="91"/>
      <c r="D486" s="91"/>
      <c r="E486" s="91"/>
      <c r="F486" s="91"/>
      <c r="G486" s="91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</row>
    <row r="487" ht="12.75" customHeight="1">
      <c r="A487" s="91"/>
      <c r="B487" s="91"/>
      <c r="C487" s="91"/>
      <c r="D487" s="91"/>
      <c r="E487" s="91"/>
      <c r="F487" s="91"/>
      <c r="G487" s="91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</row>
    <row r="488" ht="12.75" customHeight="1">
      <c r="A488" s="91"/>
      <c r="B488" s="91"/>
      <c r="C488" s="91"/>
      <c r="D488" s="91"/>
      <c r="E488" s="91"/>
      <c r="F488" s="91"/>
      <c r="G488" s="91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</row>
    <row r="489" ht="12.75" customHeight="1">
      <c r="A489" s="91"/>
      <c r="B489" s="91"/>
      <c r="C489" s="91"/>
      <c r="D489" s="91"/>
      <c r="E489" s="91"/>
      <c r="F489" s="91"/>
      <c r="G489" s="91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</row>
    <row r="490" ht="12.75" customHeight="1">
      <c r="A490" s="91"/>
      <c r="B490" s="91"/>
      <c r="C490" s="91"/>
      <c r="D490" s="91"/>
      <c r="E490" s="91"/>
      <c r="F490" s="91"/>
      <c r="G490" s="91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</row>
    <row r="491" ht="12.75" customHeight="1">
      <c r="A491" s="91"/>
      <c r="B491" s="91"/>
      <c r="C491" s="91"/>
      <c r="D491" s="91"/>
      <c r="E491" s="91"/>
      <c r="F491" s="91"/>
      <c r="G491" s="91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</row>
    <row r="492" ht="12.75" customHeight="1">
      <c r="A492" s="91"/>
      <c r="B492" s="91"/>
      <c r="C492" s="91"/>
      <c r="D492" s="91"/>
      <c r="E492" s="91"/>
      <c r="F492" s="91"/>
      <c r="G492" s="91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</row>
    <row r="493" ht="12.75" customHeight="1">
      <c r="A493" s="91"/>
      <c r="B493" s="91"/>
      <c r="C493" s="91"/>
      <c r="D493" s="91"/>
      <c r="E493" s="91"/>
      <c r="F493" s="91"/>
      <c r="G493" s="91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</row>
    <row r="494" ht="12.75" customHeight="1">
      <c r="A494" s="91"/>
      <c r="B494" s="91"/>
      <c r="C494" s="91"/>
      <c r="D494" s="91"/>
      <c r="E494" s="91"/>
      <c r="F494" s="91"/>
      <c r="G494" s="91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</row>
    <row r="495" ht="12.75" customHeight="1">
      <c r="A495" s="91"/>
      <c r="B495" s="91"/>
      <c r="C495" s="91"/>
      <c r="D495" s="91"/>
      <c r="E495" s="91"/>
      <c r="F495" s="91"/>
      <c r="G495" s="91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</row>
    <row r="496" ht="12.75" customHeight="1">
      <c r="A496" s="91"/>
      <c r="B496" s="91"/>
      <c r="C496" s="91"/>
      <c r="D496" s="91"/>
      <c r="E496" s="91"/>
      <c r="F496" s="91"/>
      <c r="G496" s="91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</row>
    <row r="497" ht="12.75" customHeight="1">
      <c r="A497" s="91"/>
      <c r="B497" s="91"/>
      <c r="C497" s="91"/>
      <c r="D497" s="91"/>
      <c r="E497" s="91"/>
      <c r="F497" s="91"/>
      <c r="G497" s="91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</row>
    <row r="498" ht="12.75" customHeight="1">
      <c r="A498" s="91"/>
      <c r="B498" s="91"/>
      <c r="C498" s="91"/>
      <c r="D498" s="91"/>
      <c r="E498" s="91"/>
      <c r="F498" s="91"/>
      <c r="G498" s="91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</row>
    <row r="499" ht="12.75" customHeight="1">
      <c r="A499" s="91"/>
      <c r="B499" s="91"/>
      <c r="C499" s="91"/>
      <c r="D499" s="91"/>
      <c r="E499" s="91"/>
      <c r="F499" s="91"/>
      <c r="G499" s="91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</row>
    <row r="500" ht="12.75" customHeight="1">
      <c r="A500" s="91"/>
      <c r="B500" s="91"/>
      <c r="C500" s="91"/>
      <c r="D500" s="91"/>
      <c r="E500" s="91"/>
      <c r="F500" s="91"/>
      <c r="G500" s="91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</row>
    <row r="501" ht="12.75" customHeight="1">
      <c r="A501" s="91"/>
      <c r="B501" s="91"/>
      <c r="C501" s="91"/>
      <c r="D501" s="91"/>
      <c r="E501" s="91"/>
      <c r="F501" s="91"/>
      <c r="G501" s="91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</row>
    <row r="502" ht="12.75" customHeight="1">
      <c r="A502" s="91"/>
      <c r="B502" s="91"/>
      <c r="C502" s="91"/>
      <c r="D502" s="91"/>
      <c r="E502" s="91"/>
      <c r="F502" s="91"/>
      <c r="G502" s="91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</row>
    <row r="503" ht="12.75" customHeight="1">
      <c r="A503" s="91"/>
      <c r="B503" s="91"/>
      <c r="C503" s="91"/>
      <c r="D503" s="91"/>
      <c r="E503" s="91"/>
      <c r="F503" s="91"/>
      <c r="G503" s="91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</row>
    <row r="504" ht="12.75" customHeight="1">
      <c r="A504" s="91"/>
      <c r="B504" s="91"/>
      <c r="C504" s="91"/>
      <c r="D504" s="91"/>
      <c r="E504" s="91"/>
      <c r="F504" s="91"/>
      <c r="G504" s="91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</row>
    <row r="505" ht="12.75" customHeight="1">
      <c r="A505" s="91"/>
      <c r="B505" s="91"/>
      <c r="C505" s="91"/>
      <c r="D505" s="91"/>
      <c r="E505" s="91"/>
      <c r="F505" s="91"/>
      <c r="G505" s="91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</row>
    <row r="506" ht="12.75" customHeight="1">
      <c r="A506" s="91"/>
      <c r="B506" s="91"/>
      <c r="C506" s="91"/>
      <c r="D506" s="91"/>
      <c r="E506" s="91"/>
      <c r="F506" s="91"/>
      <c r="G506" s="91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</row>
    <row r="507" ht="12.75" customHeight="1">
      <c r="A507" s="91"/>
      <c r="B507" s="91"/>
      <c r="C507" s="91"/>
      <c r="D507" s="91"/>
      <c r="E507" s="91"/>
      <c r="F507" s="91"/>
      <c r="G507" s="91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</row>
    <row r="508" ht="12.75" customHeight="1">
      <c r="A508" s="91"/>
      <c r="B508" s="91"/>
      <c r="C508" s="91"/>
      <c r="D508" s="91"/>
      <c r="E508" s="91"/>
      <c r="F508" s="91"/>
      <c r="G508" s="91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</row>
    <row r="509" ht="12.75" customHeight="1">
      <c r="A509" s="91"/>
      <c r="B509" s="91"/>
      <c r="C509" s="91"/>
      <c r="D509" s="91"/>
      <c r="E509" s="91"/>
      <c r="F509" s="91"/>
      <c r="G509" s="91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</row>
    <row r="510" ht="12.75" customHeight="1">
      <c r="A510" s="91"/>
      <c r="B510" s="91"/>
      <c r="C510" s="91"/>
      <c r="D510" s="91"/>
      <c r="E510" s="91"/>
      <c r="F510" s="91"/>
      <c r="G510" s="91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</row>
    <row r="511" ht="12.75" customHeight="1">
      <c r="A511" s="91"/>
      <c r="B511" s="91"/>
      <c r="C511" s="91"/>
      <c r="D511" s="91"/>
      <c r="E511" s="91"/>
      <c r="F511" s="91"/>
      <c r="G511" s="91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</row>
    <row r="512" ht="12.75" customHeight="1">
      <c r="A512" s="91"/>
      <c r="B512" s="91"/>
      <c r="C512" s="91"/>
      <c r="D512" s="91"/>
      <c r="E512" s="91"/>
      <c r="F512" s="91"/>
      <c r="G512" s="91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</row>
    <row r="513" ht="12.75" customHeight="1">
      <c r="A513" s="91"/>
      <c r="B513" s="91"/>
      <c r="C513" s="91"/>
      <c r="D513" s="91"/>
      <c r="E513" s="91"/>
      <c r="F513" s="91"/>
      <c r="G513" s="91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</row>
    <row r="514" ht="12.75" customHeight="1">
      <c r="A514" s="91"/>
      <c r="B514" s="91"/>
      <c r="C514" s="91"/>
      <c r="D514" s="91"/>
      <c r="E514" s="91"/>
      <c r="F514" s="91"/>
      <c r="G514" s="91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</row>
    <row r="515" ht="12.75" customHeight="1">
      <c r="A515" s="91"/>
      <c r="B515" s="91"/>
      <c r="C515" s="91"/>
      <c r="D515" s="91"/>
      <c r="E515" s="91"/>
      <c r="F515" s="91"/>
      <c r="G515" s="91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</row>
    <row r="516" ht="12.75" customHeight="1">
      <c r="A516" s="91"/>
      <c r="B516" s="91"/>
      <c r="C516" s="91"/>
      <c r="D516" s="91"/>
      <c r="E516" s="91"/>
      <c r="F516" s="91"/>
      <c r="G516" s="91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</row>
    <row r="517" ht="12.75" customHeight="1">
      <c r="A517" s="91"/>
      <c r="B517" s="91"/>
      <c r="C517" s="91"/>
      <c r="D517" s="91"/>
      <c r="E517" s="91"/>
      <c r="F517" s="91"/>
      <c r="G517" s="91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</row>
    <row r="518" ht="12.75" customHeight="1">
      <c r="A518" s="91"/>
      <c r="B518" s="91"/>
      <c r="C518" s="91"/>
      <c r="D518" s="91"/>
      <c r="E518" s="91"/>
      <c r="F518" s="91"/>
      <c r="G518" s="91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</row>
    <row r="519" ht="12.75" customHeight="1">
      <c r="A519" s="91"/>
      <c r="B519" s="91"/>
      <c r="C519" s="91"/>
      <c r="D519" s="91"/>
      <c r="E519" s="91"/>
      <c r="F519" s="91"/>
      <c r="G519" s="91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</row>
    <row r="520" ht="12.75" customHeight="1">
      <c r="A520" s="91"/>
      <c r="B520" s="91"/>
      <c r="C520" s="91"/>
      <c r="D520" s="91"/>
      <c r="E520" s="91"/>
      <c r="F520" s="91"/>
      <c r="G520" s="91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</row>
    <row r="521" ht="12.75" customHeight="1">
      <c r="A521" s="91"/>
      <c r="B521" s="91"/>
      <c r="C521" s="91"/>
      <c r="D521" s="91"/>
      <c r="E521" s="91"/>
      <c r="F521" s="91"/>
      <c r="G521" s="91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</row>
    <row r="522" ht="12.75" customHeight="1">
      <c r="A522" s="91"/>
      <c r="B522" s="91"/>
      <c r="C522" s="91"/>
      <c r="D522" s="91"/>
      <c r="E522" s="91"/>
      <c r="F522" s="91"/>
      <c r="G522" s="91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</row>
    <row r="523" ht="12.75" customHeight="1">
      <c r="A523" s="91"/>
      <c r="B523" s="91"/>
      <c r="C523" s="91"/>
      <c r="D523" s="91"/>
      <c r="E523" s="91"/>
      <c r="F523" s="91"/>
      <c r="G523" s="91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</row>
    <row r="524" ht="12.75" customHeight="1">
      <c r="A524" s="91"/>
      <c r="B524" s="91"/>
      <c r="C524" s="91"/>
      <c r="D524" s="91"/>
      <c r="E524" s="91"/>
      <c r="F524" s="91"/>
      <c r="G524" s="91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</row>
    <row r="525" ht="12.75" customHeight="1">
      <c r="A525" s="91"/>
      <c r="B525" s="91"/>
      <c r="C525" s="91"/>
      <c r="D525" s="91"/>
      <c r="E525" s="91"/>
      <c r="F525" s="91"/>
      <c r="G525" s="91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</row>
    <row r="526" ht="12.75" customHeight="1">
      <c r="A526" s="91"/>
      <c r="B526" s="91"/>
      <c r="C526" s="91"/>
      <c r="D526" s="91"/>
      <c r="E526" s="91"/>
      <c r="F526" s="91"/>
      <c r="G526" s="91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</row>
    <row r="527" ht="12.75" customHeight="1">
      <c r="A527" s="91"/>
      <c r="B527" s="91"/>
      <c r="C527" s="91"/>
      <c r="D527" s="91"/>
      <c r="E527" s="91"/>
      <c r="F527" s="91"/>
      <c r="G527" s="91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</row>
    <row r="528" ht="12.75" customHeight="1">
      <c r="A528" s="91"/>
      <c r="B528" s="91"/>
      <c r="C528" s="91"/>
      <c r="D528" s="91"/>
      <c r="E528" s="91"/>
      <c r="F528" s="91"/>
      <c r="G528" s="91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</row>
    <row r="529" ht="12.75" customHeight="1">
      <c r="A529" s="91"/>
      <c r="B529" s="91"/>
      <c r="C529" s="91"/>
      <c r="D529" s="91"/>
      <c r="E529" s="91"/>
      <c r="F529" s="91"/>
      <c r="G529" s="91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</row>
    <row r="530" ht="12.75" customHeight="1">
      <c r="A530" s="91"/>
      <c r="B530" s="91"/>
      <c r="C530" s="91"/>
      <c r="D530" s="91"/>
      <c r="E530" s="91"/>
      <c r="F530" s="91"/>
      <c r="G530" s="91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</row>
    <row r="531" ht="12.75" customHeight="1">
      <c r="A531" s="91"/>
      <c r="B531" s="91"/>
      <c r="C531" s="91"/>
      <c r="D531" s="91"/>
      <c r="E531" s="91"/>
      <c r="F531" s="91"/>
      <c r="G531" s="91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</row>
    <row r="532" ht="12.75" customHeight="1">
      <c r="A532" s="91"/>
      <c r="B532" s="91"/>
      <c r="C532" s="91"/>
      <c r="D532" s="91"/>
      <c r="E532" s="91"/>
      <c r="F532" s="91"/>
      <c r="G532" s="91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</row>
    <row r="533" ht="12.75" customHeight="1">
      <c r="A533" s="91"/>
      <c r="B533" s="91"/>
      <c r="C533" s="91"/>
      <c r="D533" s="91"/>
      <c r="E533" s="91"/>
      <c r="F533" s="91"/>
      <c r="G533" s="91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</row>
    <row r="534" ht="12.75" customHeight="1">
      <c r="A534" s="91"/>
      <c r="B534" s="91"/>
      <c r="C534" s="91"/>
      <c r="D534" s="91"/>
      <c r="E534" s="91"/>
      <c r="F534" s="91"/>
      <c r="G534" s="91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</row>
    <row r="535" ht="12.75" customHeight="1">
      <c r="A535" s="91"/>
      <c r="B535" s="91"/>
      <c r="C535" s="91"/>
      <c r="D535" s="91"/>
      <c r="E535" s="91"/>
      <c r="F535" s="91"/>
      <c r="G535" s="91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</row>
    <row r="536" ht="12.75" customHeight="1">
      <c r="A536" s="91"/>
      <c r="B536" s="91"/>
      <c r="C536" s="91"/>
      <c r="D536" s="91"/>
      <c r="E536" s="91"/>
      <c r="F536" s="91"/>
      <c r="G536" s="91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</row>
    <row r="537" ht="12.75" customHeight="1">
      <c r="A537" s="91"/>
      <c r="B537" s="91"/>
      <c r="C537" s="91"/>
      <c r="D537" s="91"/>
      <c r="E537" s="91"/>
      <c r="F537" s="91"/>
      <c r="G537" s="91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</row>
    <row r="538" ht="12.75" customHeight="1">
      <c r="A538" s="91"/>
      <c r="B538" s="91"/>
      <c r="C538" s="91"/>
      <c r="D538" s="91"/>
      <c r="E538" s="91"/>
      <c r="F538" s="91"/>
      <c r="G538" s="91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</row>
    <row r="539" ht="12.75" customHeight="1">
      <c r="A539" s="91"/>
      <c r="B539" s="91"/>
      <c r="C539" s="91"/>
      <c r="D539" s="91"/>
      <c r="E539" s="91"/>
      <c r="F539" s="91"/>
      <c r="G539" s="91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</row>
    <row r="540" ht="12.75" customHeight="1">
      <c r="A540" s="91"/>
      <c r="B540" s="91"/>
      <c r="C540" s="91"/>
      <c r="D540" s="91"/>
      <c r="E540" s="91"/>
      <c r="F540" s="91"/>
      <c r="G540" s="91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</row>
    <row r="541" ht="12.75" customHeight="1">
      <c r="A541" s="91"/>
      <c r="B541" s="91"/>
      <c r="C541" s="91"/>
      <c r="D541" s="91"/>
      <c r="E541" s="91"/>
      <c r="F541" s="91"/>
      <c r="G541" s="91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</row>
    <row r="542" ht="12.75" customHeight="1">
      <c r="A542" s="91"/>
      <c r="B542" s="91"/>
      <c r="C542" s="91"/>
      <c r="D542" s="91"/>
      <c r="E542" s="91"/>
      <c r="F542" s="91"/>
      <c r="G542" s="91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</row>
    <row r="543" ht="12.75" customHeight="1">
      <c r="A543" s="91"/>
      <c r="B543" s="91"/>
      <c r="C543" s="91"/>
      <c r="D543" s="91"/>
      <c r="E543" s="91"/>
      <c r="F543" s="91"/>
      <c r="G543" s="91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</row>
    <row r="544" ht="12.75" customHeight="1">
      <c r="A544" s="91"/>
      <c r="B544" s="91"/>
      <c r="C544" s="91"/>
      <c r="D544" s="91"/>
      <c r="E544" s="91"/>
      <c r="F544" s="91"/>
      <c r="G544" s="91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</row>
    <row r="545" ht="12.75" customHeight="1">
      <c r="A545" s="91"/>
      <c r="B545" s="91"/>
      <c r="C545" s="91"/>
      <c r="D545" s="91"/>
      <c r="E545" s="91"/>
      <c r="F545" s="91"/>
      <c r="G545" s="91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</row>
    <row r="546" ht="12.75" customHeight="1">
      <c r="A546" s="91"/>
      <c r="B546" s="91"/>
      <c r="C546" s="91"/>
      <c r="D546" s="91"/>
      <c r="E546" s="91"/>
      <c r="F546" s="91"/>
      <c r="G546" s="91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</row>
    <row r="547" ht="12.75" customHeight="1">
      <c r="A547" s="91"/>
      <c r="B547" s="91"/>
      <c r="C547" s="91"/>
      <c r="D547" s="91"/>
      <c r="E547" s="91"/>
      <c r="F547" s="91"/>
      <c r="G547" s="91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</row>
    <row r="548" ht="12.75" customHeight="1">
      <c r="A548" s="91"/>
      <c r="B548" s="91"/>
      <c r="C548" s="91"/>
      <c r="D548" s="91"/>
      <c r="E548" s="91"/>
      <c r="F548" s="91"/>
      <c r="G548" s="91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</row>
    <row r="549" ht="12.75" customHeight="1">
      <c r="A549" s="91"/>
      <c r="B549" s="91"/>
      <c r="C549" s="91"/>
      <c r="D549" s="91"/>
      <c r="E549" s="91"/>
      <c r="F549" s="91"/>
      <c r="G549" s="91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</row>
    <row r="550" ht="12.75" customHeight="1">
      <c r="A550" s="91"/>
      <c r="B550" s="91"/>
      <c r="C550" s="91"/>
      <c r="D550" s="91"/>
      <c r="E550" s="91"/>
      <c r="F550" s="91"/>
      <c r="G550" s="91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</row>
    <row r="551" ht="12.75" customHeight="1">
      <c r="A551" s="91"/>
      <c r="B551" s="91"/>
      <c r="C551" s="91"/>
      <c r="D551" s="91"/>
      <c r="E551" s="91"/>
      <c r="F551" s="91"/>
      <c r="G551" s="91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</row>
    <row r="552" ht="12.75" customHeight="1">
      <c r="A552" s="91"/>
      <c r="B552" s="91"/>
      <c r="C552" s="91"/>
      <c r="D552" s="91"/>
      <c r="E552" s="91"/>
      <c r="F552" s="91"/>
      <c r="G552" s="91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</row>
    <row r="553" ht="12.75" customHeight="1">
      <c r="A553" s="91"/>
      <c r="B553" s="91"/>
      <c r="C553" s="91"/>
      <c r="D553" s="91"/>
      <c r="E553" s="91"/>
      <c r="F553" s="91"/>
      <c r="G553" s="91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</row>
    <row r="554" ht="12.75" customHeight="1">
      <c r="A554" s="91"/>
      <c r="B554" s="91"/>
      <c r="C554" s="91"/>
      <c r="D554" s="91"/>
      <c r="E554" s="91"/>
      <c r="F554" s="91"/>
      <c r="G554" s="91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</row>
    <row r="555" ht="12.75" customHeight="1">
      <c r="A555" s="91"/>
      <c r="B555" s="91"/>
      <c r="C555" s="91"/>
      <c r="D555" s="91"/>
      <c r="E555" s="91"/>
      <c r="F555" s="91"/>
      <c r="G555" s="91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</row>
    <row r="556" ht="12.75" customHeight="1">
      <c r="A556" s="91"/>
      <c r="B556" s="91"/>
      <c r="C556" s="91"/>
      <c r="D556" s="91"/>
      <c r="E556" s="91"/>
      <c r="F556" s="91"/>
      <c r="G556" s="91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</row>
    <row r="557" ht="12.75" customHeight="1">
      <c r="A557" s="91"/>
      <c r="B557" s="91"/>
      <c r="C557" s="91"/>
      <c r="D557" s="91"/>
      <c r="E557" s="91"/>
      <c r="F557" s="91"/>
      <c r="G557" s="91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</row>
    <row r="558" ht="12.75" customHeight="1">
      <c r="A558" s="91"/>
      <c r="B558" s="91"/>
      <c r="C558" s="91"/>
      <c r="D558" s="91"/>
      <c r="E558" s="91"/>
      <c r="F558" s="91"/>
      <c r="G558" s="91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</row>
    <row r="559" ht="12.75" customHeight="1">
      <c r="A559" s="91"/>
      <c r="B559" s="91"/>
      <c r="C559" s="91"/>
      <c r="D559" s="91"/>
      <c r="E559" s="91"/>
      <c r="F559" s="91"/>
      <c r="G559" s="91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</row>
    <row r="560" ht="12.75" customHeight="1">
      <c r="A560" s="91"/>
      <c r="B560" s="91"/>
      <c r="C560" s="91"/>
      <c r="D560" s="91"/>
      <c r="E560" s="91"/>
      <c r="F560" s="91"/>
      <c r="G560" s="91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</row>
    <row r="561" ht="12.75" customHeight="1">
      <c r="A561" s="91"/>
      <c r="B561" s="91"/>
      <c r="C561" s="91"/>
      <c r="D561" s="91"/>
      <c r="E561" s="91"/>
      <c r="F561" s="91"/>
      <c r="G561" s="91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</row>
    <row r="562" ht="12.75" customHeight="1">
      <c r="A562" s="91"/>
      <c r="B562" s="91"/>
      <c r="C562" s="91"/>
      <c r="D562" s="91"/>
      <c r="E562" s="91"/>
      <c r="F562" s="91"/>
      <c r="G562" s="91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</row>
    <row r="563" ht="12.75" customHeight="1">
      <c r="A563" s="91"/>
      <c r="B563" s="91"/>
      <c r="C563" s="91"/>
      <c r="D563" s="91"/>
      <c r="E563" s="91"/>
      <c r="F563" s="91"/>
      <c r="G563" s="91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</row>
    <row r="564" ht="12.75" customHeight="1">
      <c r="A564" s="91"/>
      <c r="B564" s="91"/>
      <c r="C564" s="91"/>
      <c r="D564" s="91"/>
      <c r="E564" s="91"/>
      <c r="F564" s="91"/>
      <c r="G564" s="91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</row>
    <row r="565" ht="12.75" customHeight="1">
      <c r="A565" s="91"/>
      <c r="B565" s="91"/>
      <c r="C565" s="91"/>
      <c r="D565" s="91"/>
      <c r="E565" s="91"/>
      <c r="F565" s="91"/>
      <c r="G565" s="91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</row>
    <row r="566" ht="12.75" customHeight="1">
      <c r="A566" s="91"/>
      <c r="B566" s="91"/>
      <c r="C566" s="91"/>
      <c r="D566" s="91"/>
      <c r="E566" s="91"/>
      <c r="F566" s="91"/>
      <c r="G566" s="91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</row>
    <row r="567" ht="12.75" customHeight="1">
      <c r="A567" s="91"/>
      <c r="B567" s="91"/>
      <c r="C567" s="91"/>
      <c r="D567" s="91"/>
      <c r="E567" s="91"/>
      <c r="F567" s="91"/>
      <c r="G567" s="91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</row>
    <row r="568" ht="12.75" customHeight="1">
      <c r="A568" s="91"/>
      <c r="B568" s="91"/>
      <c r="C568" s="91"/>
      <c r="D568" s="91"/>
      <c r="E568" s="91"/>
      <c r="F568" s="91"/>
      <c r="G568" s="91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</row>
    <row r="569" ht="12.75" customHeight="1">
      <c r="A569" s="91"/>
      <c r="B569" s="91"/>
      <c r="C569" s="91"/>
      <c r="D569" s="91"/>
      <c r="E569" s="91"/>
      <c r="F569" s="91"/>
      <c r="G569" s="91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</row>
    <row r="570" ht="12.75" customHeight="1">
      <c r="A570" s="91"/>
      <c r="B570" s="91"/>
      <c r="C570" s="91"/>
      <c r="D570" s="91"/>
      <c r="E570" s="91"/>
      <c r="F570" s="91"/>
      <c r="G570" s="91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</row>
    <row r="571" ht="12.75" customHeight="1">
      <c r="A571" s="91"/>
      <c r="B571" s="91"/>
      <c r="C571" s="91"/>
      <c r="D571" s="91"/>
      <c r="E571" s="91"/>
      <c r="F571" s="91"/>
      <c r="G571" s="91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</row>
    <row r="572" ht="12.75" customHeight="1">
      <c r="A572" s="91"/>
      <c r="B572" s="91"/>
      <c r="C572" s="91"/>
      <c r="D572" s="91"/>
      <c r="E572" s="91"/>
      <c r="F572" s="91"/>
      <c r="G572" s="91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</row>
    <row r="573" ht="12.75" customHeight="1">
      <c r="A573" s="91"/>
      <c r="B573" s="91"/>
      <c r="C573" s="91"/>
      <c r="D573" s="91"/>
      <c r="E573" s="91"/>
      <c r="F573" s="91"/>
      <c r="G573" s="91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</row>
    <row r="574" ht="12.75" customHeight="1">
      <c r="A574" s="91"/>
      <c r="B574" s="91"/>
      <c r="C574" s="91"/>
      <c r="D574" s="91"/>
      <c r="E574" s="91"/>
      <c r="F574" s="91"/>
      <c r="G574" s="91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</row>
    <row r="575" ht="12.75" customHeight="1">
      <c r="A575" s="91"/>
      <c r="B575" s="91"/>
      <c r="C575" s="91"/>
      <c r="D575" s="91"/>
      <c r="E575" s="91"/>
      <c r="F575" s="91"/>
      <c r="G575" s="91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</row>
    <row r="576" ht="12.75" customHeight="1">
      <c r="A576" s="91"/>
      <c r="B576" s="91"/>
      <c r="C576" s="91"/>
      <c r="D576" s="91"/>
      <c r="E576" s="91"/>
      <c r="F576" s="91"/>
      <c r="G576" s="91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</row>
    <row r="577" ht="12.75" customHeight="1">
      <c r="A577" s="91"/>
      <c r="B577" s="91"/>
      <c r="C577" s="91"/>
      <c r="D577" s="91"/>
      <c r="E577" s="91"/>
      <c r="F577" s="91"/>
      <c r="G577" s="91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</row>
    <row r="578" ht="12.75" customHeight="1">
      <c r="A578" s="91"/>
      <c r="B578" s="91"/>
      <c r="C578" s="91"/>
      <c r="D578" s="91"/>
      <c r="E578" s="91"/>
      <c r="F578" s="91"/>
      <c r="G578" s="91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</row>
    <row r="579" ht="12.75" customHeight="1">
      <c r="A579" s="91"/>
      <c r="B579" s="91"/>
      <c r="C579" s="91"/>
      <c r="D579" s="91"/>
      <c r="E579" s="91"/>
      <c r="F579" s="91"/>
      <c r="G579" s="91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</row>
    <row r="580" ht="12.75" customHeight="1">
      <c r="A580" s="91"/>
      <c r="B580" s="91"/>
      <c r="C580" s="91"/>
      <c r="D580" s="91"/>
      <c r="E580" s="91"/>
      <c r="F580" s="91"/>
      <c r="G580" s="91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</row>
    <row r="581" ht="12.75" customHeight="1">
      <c r="A581" s="91"/>
      <c r="B581" s="91"/>
      <c r="C581" s="91"/>
      <c r="D581" s="91"/>
      <c r="E581" s="91"/>
      <c r="F581" s="91"/>
      <c r="G581" s="91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</row>
    <row r="582" ht="12.75" customHeight="1">
      <c r="A582" s="91"/>
      <c r="B582" s="91"/>
      <c r="C582" s="91"/>
      <c r="D582" s="91"/>
      <c r="E582" s="91"/>
      <c r="F582" s="91"/>
      <c r="G582" s="91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</row>
    <row r="583" ht="12.75" customHeight="1">
      <c r="A583" s="91"/>
      <c r="B583" s="91"/>
      <c r="C583" s="91"/>
      <c r="D583" s="91"/>
      <c r="E583" s="91"/>
      <c r="F583" s="91"/>
      <c r="G583" s="91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</row>
    <row r="584" ht="12.75" customHeight="1">
      <c r="A584" s="91"/>
      <c r="B584" s="91"/>
      <c r="C584" s="91"/>
      <c r="D584" s="91"/>
      <c r="E584" s="91"/>
      <c r="F584" s="91"/>
      <c r="G584" s="91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</row>
    <row r="585" ht="12.75" customHeight="1">
      <c r="A585" s="91"/>
      <c r="B585" s="91"/>
      <c r="C585" s="91"/>
      <c r="D585" s="91"/>
      <c r="E585" s="91"/>
      <c r="F585" s="91"/>
      <c r="G585" s="91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</row>
    <row r="586" ht="12.75" customHeight="1">
      <c r="A586" s="91"/>
      <c r="B586" s="91"/>
      <c r="C586" s="91"/>
      <c r="D586" s="91"/>
      <c r="E586" s="91"/>
      <c r="F586" s="91"/>
      <c r="G586" s="91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</row>
    <row r="587" ht="12.75" customHeight="1">
      <c r="A587" s="91"/>
      <c r="B587" s="91"/>
      <c r="C587" s="91"/>
      <c r="D587" s="91"/>
      <c r="E587" s="91"/>
      <c r="F587" s="91"/>
      <c r="G587" s="91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</row>
    <row r="588" ht="12.75" customHeight="1">
      <c r="A588" s="91"/>
      <c r="B588" s="91"/>
      <c r="C588" s="91"/>
      <c r="D588" s="91"/>
      <c r="E588" s="91"/>
      <c r="F588" s="91"/>
      <c r="G588" s="91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</row>
    <row r="589" ht="12.75" customHeight="1">
      <c r="A589" s="91"/>
      <c r="B589" s="91"/>
      <c r="C589" s="91"/>
      <c r="D589" s="91"/>
      <c r="E589" s="91"/>
      <c r="F589" s="91"/>
      <c r="G589" s="91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</row>
    <row r="590" ht="12.75" customHeight="1">
      <c r="A590" s="91"/>
      <c r="B590" s="91"/>
      <c r="C590" s="91"/>
      <c r="D590" s="91"/>
      <c r="E590" s="91"/>
      <c r="F590" s="91"/>
      <c r="G590" s="91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</row>
    <row r="591" ht="12.75" customHeight="1">
      <c r="A591" s="91"/>
      <c r="B591" s="91"/>
      <c r="C591" s="91"/>
      <c r="D591" s="91"/>
      <c r="E591" s="91"/>
      <c r="F591" s="91"/>
      <c r="G591" s="91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</row>
    <row r="592" ht="12.75" customHeight="1">
      <c r="A592" s="91"/>
      <c r="B592" s="91"/>
      <c r="C592" s="91"/>
      <c r="D592" s="91"/>
      <c r="E592" s="91"/>
      <c r="F592" s="91"/>
      <c r="G592" s="91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</row>
    <row r="593" ht="12.75" customHeight="1">
      <c r="A593" s="91"/>
      <c r="B593" s="91"/>
      <c r="C593" s="91"/>
      <c r="D593" s="91"/>
      <c r="E593" s="91"/>
      <c r="F593" s="91"/>
      <c r="G593" s="91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</row>
    <row r="594" ht="12.75" customHeight="1">
      <c r="A594" s="91"/>
      <c r="B594" s="91"/>
      <c r="C594" s="91"/>
      <c r="D594" s="91"/>
      <c r="E594" s="91"/>
      <c r="F594" s="91"/>
      <c r="G594" s="91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</row>
    <row r="595" ht="12.75" customHeight="1">
      <c r="A595" s="91"/>
      <c r="B595" s="91"/>
      <c r="C595" s="91"/>
      <c r="D595" s="91"/>
      <c r="E595" s="91"/>
      <c r="F595" s="91"/>
      <c r="G595" s="91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</row>
    <row r="596" ht="12.75" customHeight="1">
      <c r="A596" s="91"/>
      <c r="B596" s="91"/>
      <c r="C596" s="91"/>
      <c r="D596" s="91"/>
      <c r="E596" s="91"/>
      <c r="F596" s="91"/>
      <c r="G596" s="91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</row>
    <row r="597" ht="12.75" customHeight="1">
      <c r="A597" s="91"/>
      <c r="B597" s="91"/>
      <c r="C597" s="91"/>
      <c r="D597" s="91"/>
      <c r="E597" s="91"/>
      <c r="F597" s="91"/>
      <c r="G597" s="91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</row>
    <row r="598" ht="12.75" customHeight="1">
      <c r="A598" s="91"/>
      <c r="B598" s="91"/>
      <c r="C598" s="91"/>
      <c r="D598" s="91"/>
      <c r="E598" s="91"/>
      <c r="F598" s="91"/>
      <c r="G598" s="91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</row>
    <row r="599" ht="12.75" customHeight="1">
      <c r="A599" s="91"/>
      <c r="B599" s="91"/>
      <c r="C599" s="91"/>
      <c r="D599" s="91"/>
      <c r="E599" s="91"/>
      <c r="F599" s="91"/>
      <c r="G599" s="91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</row>
    <row r="600" ht="12.75" customHeight="1">
      <c r="A600" s="91"/>
      <c r="B600" s="91"/>
      <c r="C600" s="91"/>
      <c r="D600" s="91"/>
      <c r="E600" s="91"/>
      <c r="F600" s="91"/>
      <c r="G600" s="91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</row>
    <row r="601" ht="12.75" customHeight="1">
      <c r="A601" s="91"/>
      <c r="B601" s="91"/>
      <c r="C601" s="91"/>
      <c r="D601" s="91"/>
      <c r="E601" s="91"/>
      <c r="F601" s="91"/>
      <c r="G601" s="91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</row>
    <row r="602" ht="12.75" customHeight="1">
      <c r="A602" s="91"/>
      <c r="B602" s="91"/>
      <c r="C602" s="91"/>
      <c r="D602" s="91"/>
      <c r="E602" s="91"/>
      <c r="F602" s="91"/>
      <c r="G602" s="91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</row>
    <row r="603" ht="12.75" customHeight="1">
      <c r="A603" s="91"/>
      <c r="B603" s="91"/>
      <c r="C603" s="91"/>
      <c r="D603" s="91"/>
      <c r="E603" s="91"/>
      <c r="F603" s="91"/>
      <c r="G603" s="91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</row>
    <row r="604" ht="12.75" customHeight="1">
      <c r="A604" s="91"/>
      <c r="B604" s="91"/>
      <c r="C604" s="91"/>
      <c r="D604" s="91"/>
      <c r="E604" s="91"/>
      <c r="F604" s="91"/>
      <c r="G604" s="91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</row>
    <row r="605" ht="12.75" customHeight="1">
      <c r="A605" s="91"/>
      <c r="B605" s="91"/>
      <c r="C605" s="91"/>
      <c r="D605" s="91"/>
      <c r="E605" s="91"/>
      <c r="F605" s="91"/>
      <c r="G605" s="91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</row>
    <row r="606" ht="12.75" customHeight="1">
      <c r="A606" s="91"/>
      <c r="B606" s="91"/>
      <c r="C606" s="91"/>
      <c r="D606" s="91"/>
      <c r="E606" s="91"/>
      <c r="F606" s="91"/>
      <c r="G606" s="91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</row>
    <row r="607" ht="12.75" customHeight="1">
      <c r="A607" s="91"/>
      <c r="B607" s="91"/>
      <c r="C607" s="91"/>
      <c r="D607" s="91"/>
      <c r="E607" s="91"/>
      <c r="F607" s="91"/>
      <c r="G607" s="91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</row>
    <row r="608" ht="12.75" customHeight="1">
      <c r="A608" s="91"/>
      <c r="B608" s="91"/>
      <c r="C608" s="91"/>
      <c r="D608" s="91"/>
      <c r="E608" s="91"/>
      <c r="F608" s="91"/>
      <c r="G608" s="91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</row>
    <row r="609" ht="12.75" customHeight="1">
      <c r="A609" s="91"/>
      <c r="B609" s="91"/>
      <c r="C609" s="91"/>
      <c r="D609" s="91"/>
      <c r="E609" s="91"/>
      <c r="F609" s="91"/>
      <c r="G609" s="91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</row>
    <row r="610" ht="12.75" customHeight="1">
      <c r="A610" s="91"/>
      <c r="B610" s="91"/>
      <c r="C610" s="91"/>
      <c r="D610" s="91"/>
      <c r="E610" s="91"/>
      <c r="F610" s="91"/>
      <c r="G610" s="91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</row>
    <row r="611" ht="12.75" customHeight="1">
      <c r="A611" s="91"/>
      <c r="B611" s="91"/>
      <c r="C611" s="91"/>
      <c r="D611" s="91"/>
      <c r="E611" s="91"/>
      <c r="F611" s="91"/>
      <c r="G611" s="91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</row>
    <row r="612" ht="12.75" customHeight="1">
      <c r="A612" s="91"/>
      <c r="B612" s="91"/>
      <c r="C612" s="91"/>
      <c r="D612" s="91"/>
      <c r="E612" s="91"/>
      <c r="F612" s="91"/>
      <c r="G612" s="91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</row>
    <row r="613" ht="12.75" customHeight="1">
      <c r="A613" s="91"/>
      <c r="B613" s="91"/>
      <c r="C613" s="91"/>
      <c r="D613" s="91"/>
      <c r="E613" s="91"/>
      <c r="F613" s="91"/>
      <c r="G613" s="91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</row>
    <row r="614" ht="12.75" customHeight="1">
      <c r="A614" s="91"/>
      <c r="B614" s="91"/>
      <c r="C614" s="91"/>
      <c r="D614" s="91"/>
      <c r="E614" s="91"/>
      <c r="F614" s="91"/>
      <c r="G614" s="91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</row>
    <row r="615" ht="12.75" customHeight="1">
      <c r="A615" s="91"/>
      <c r="B615" s="91"/>
      <c r="C615" s="91"/>
      <c r="D615" s="91"/>
      <c r="E615" s="91"/>
      <c r="F615" s="91"/>
      <c r="G615" s="91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</row>
    <row r="616" ht="12.75" customHeight="1">
      <c r="A616" s="91"/>
      <c r="B616" s="91"/>
      <c r="C616" s="91"/>
      <c r="D616" s="91"/>
      <c r="E616" s="91"/>
      <c r="F616" s="91"/>
      <c r="G616" s="91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</row>
    <row r="617" ht="12.75" customHeight="1">
      <c r="A617" s="91"/>
      <c r="B617" s="91"/>
      <c r="C617" s="91"/>
      <c r="D617" s="91"/>
      <c r="E617" s="91"/>
      <c r="F617" s="91"/>
      <c r="G617" s="91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</row>
    <row r="618" ht="12.75" customHeight="1">
      <c r="A618" s="91"/>
      <c r="B618" s="91"/>
      <c r="C618" s="91"/>
      <c r="D618" s="91"/>
      <c r="E618" s="91"/>
      <c r="F618" s="91"/>
      <c r="G618" s="91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</row>
    <row r="619" ht="12.75" customHeight="1">
      <c r="A619" s="91"/>
      <c r="B619" s="91"/>
      <c r="C619" s="91"/>
      <c r="D619" s="91"/>
      <c r="E619" s="91"/>
      <c r="F619" s="91"/>
      <c r="G619" s="91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</row>
    <row r="620" ht="12.75" customHeight="1">
      <c r="A620" s="91"/>
      <c r="B620" s="91"/>
      <c r="C620" s="91"/>
      <c r="D620" s="91"/>
      <c r="E620" s="91"/>
      <c r="F620" s="91"/>
      <c r="G620" s="91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</row>
    <row r="621" ht="12.75" customHeight="1">
      <c r="A621" s="91"/>
      <c r="B621" s="91"/>
      <c r="C621" s="91"/>
      <c r="D621" s="91"/>
      <c r="E621" s="91"/>
      <c r="F621" s="91"/>
      <c r="G621" s="91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</row>
    <row r="622" ht="12.75" customHeight="1">
      <c r="A622" s="91"/>
      <c r="B622" s="91"/>
      <c r="C622" s="91"/>
      <c r="D622" s="91"/>
      <c r="E622" s="91"/>
      <c r="F622" s="91"/>
      <c r="G622" s="91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</row>
    <row r="623" ht="12.75" customHeight="1">
      <c r="A623" s="91"/>
      <c r="B623" s="91"/>
      <c r="C623" s="91"/>
      <c r="D623" s="91"/>
      <c r="E623" s="91"/>
      <c r="F623" s="91"/>
      <c r="G623" s="91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</row>
    <row r="624" ht="12.75" customHeight="1">
      <c r="A624" s="91"/>
      <c r="B624" s="91"/>
      <c r="C624" s="91"/>
      <c r="D624" s="91"/>
      <c r="E624" s="91"/>
      <c r="F624" s="91"/>
      <c r="G624" s="91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</row>
    <row r="625" ht="12.75" customHeight="1">
      <c r="A625" s="91"/>
      <c r="B625" s="91"/>
      <c r="C625" s="91"/>
      <c r="D625" s="91"/>
      <c r="E625" s="91"/>
      <c r="F625" s="91"/>
      <c r="G625" s="91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</row>
    <row r="626" ht="12.75" customHeight="1">
      <c r="A626" s="91"/>
      <c r="B626" s="91"/>
      <c r="C626" s="91"/>
      <c r="D626" s="91"/>
      <c r="E626" s="91"/>
      <c r="F626" s="91"/>
      <c r="G626" s="91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</row>
    <row r="627" ht="12.75" customHeight="1">
      <c r="A627" s="91"/>
      <c r="B627" s="91"/>
      <c r="C627" s="91"/>
      <c r="D627" s="91"/>
      <c r="E627" s="91"/>
      <c r="F627" s="91"/>
      <c r="G627" s="91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</row>
    <row r="628" ht="12.75" customHeight="1">
      <c r="A628" s="91"/>
      <c r="B628" s="91"/>
      <c r="C628" s="91"/>
      <c r="D628" s="91"/>
      <c r="E628" s="91"/>
      <c r="F628" s="91"/>
      <c r="G628" s="91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</row>
    <row r="629" ht="12.75" customHeight="1">
      <c r="A629" s="91"/>
      <c r="B629" s="91"/>
      <c r="C629" s="91"/>
      <c r="D629" s="91"/>
      <c r="E629" s="91"/>
      <c r="F629" s="91"/>
      <c r="G629" s="91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</row>
    <row r="630" ht="12.75" customHeight="1">
      <c r="A630" s="91"/>
      <c r="B630" s="91"/>
      <c r="C630" s="91"/>
      <c r="D630" s="91"/>
      <c r="E630" s="91"/>
      <c r="F630" s="91"/>
      <c r="G630" s="91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</row>
    <row r="631" ht="12.75" customHeight="1">
      <c r="A631" s="91"/>
      <c r="B631" s="91"/>
      <c r="C631" s="91"/>
      <c r="D631" s="91"/>
      <c r="E631" s="91"/>
      <c r="F631" s="91"/>
      <c r="G631" s="91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</row>
    <row r="632" ht="12.75" customHeight="1">
      <c r="A632" s="91"/>
      <c r="B632" s="91"/>
      <c r="C632" s="91"/>
      <c r="D632" s="91"/>
      <c r="E632" s="91"/>
      <c r="F632" s="91"/>
      <c r="G632" s="91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</row>
    <row r="633" ht="12.75" customHeight="1">
      <c r="A633" s="91"/>
      <c r="B633" s="91"/>
      <c r="C633" s="91"/>
      <c r="D633" s="91"/>
      <c r="E633" s="91"/>
      <c r="F633" s="91"/>
      <c r="G633" s="91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</row>
    <row r="634" ht="12.75" customHeight="1">
      <c r="A634" s="91"/>
      <c r="B634" s="91"/>
      <c r="C634" s="91"/>
      <c r="D634" s="91"/>
      <c r="E634" s="91"/>
      <c r="F634" s="91"/>
      <c r="G634" s="91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</row>
    <row r="635" ht="12.75" customHeight="1">
      <c r="A635" s="91"/>
      <c r="B635" s="91"/>
      <c r="C635" s="91"/>
      <c r="D635" s="91"/>
      <c r="E635" s="91"/>
      <c r="F635" s="91"/>
      <c r="G635" s="91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</row>
    <row r="636" ht="12.75" customHeight="1">
      <c r="A636" s="91"/>
      <c r="B636" s="91"/>
      <c r="C636" s="91"/>
      <c r="D636" s="91"/>
      <c r="E636" s="91"/>
      <c r="F636" s="91"/>
      <c r="G636" s="91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</row>
    <row r="637" ht="12.75" customHeight="1">
      <c r="A637" s="91"/>
      <c r="B637" s="91"/>
      <c r="C637" s="91"/>
      <c r="D637" s="91"/>
      <c r="E637" s="91"/>
      <c r="F637" s="91"/>
      <c r="G637" s="91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</row>
    <row r="638" ht="12.75" customHeight="1">
      <c r="A638" s="91"/>
      <c r="B638" s="91"/>
      <c r="C638" s="91"/>
      <c r="D638" s="91"/>
      <c r="E638" s="91"/>
      <c r="F638" s="91"/>
      <c r="G638" s="91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</row>
    <row r="639" ht="12.75" customHeight="1">
      <c r="A639" s="91"/>
      <c r="B639" s="91"/>
      <c r="C639" s="91"/>
      <c r="D639" s="91"/>
      <c r="E639" s="91"/>
      <c r="F639" s="91"/>
      <c r="G639" s="91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</row>
    <row r="640" ht="12.75" customHeight="1">
      <c r="A640" s="91"/>
      <c r="B640" s="91"/>
      <c r="C640" s="91"/>
      <c r="D640" s="91"/>
      <c r="E640" s="91"/>
      <c r="F640" s="91"/>
      <c r="G640" s="91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</row>
    <row r="641" ht="12.75" customHeight="1">
      <c r="A641" s="91"/>
      <c r="B641" s="91"/>
      <c r="C641" s="91"/>
      <c r="D641" s="91"/>
      <c r="E641" s="91"/>
      <c r="F641" s="91"/>
      <c r="G641" s="91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</row>
    <row r="642" ht="12.75" customHeight="1">
      <c r="A642" s="91"/>
      <c r="B642" s="91"/>
      <c r="C642" s="91"/>
      <c r="D642" s="91"/>
      <c r="E642" s="91"/>
      <c r="F642" s="91"/>
      <c r="G642" s="91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</row>
    <row r="643" ht="12.75" customHeight="1">
      <c r="A643" s="91"/>
      <c r="B643" s="91"/>
      <c r="C643" s="91"/>
      <c r="D643" s="91"/>
      <c r="E643" s="91"/>
      <c r="F643" s="91"/>
      <c r="G643" s="91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</row>
    <row r="644" ht="12.75" customHeight="1">
      <c r="A644" s="91"/>
      <c r="B644" s="91"/>
      <c r="C644" s="91"/>
      <c r="D644" s="91"/>
      <c r="E644" s="91"/>
      <c r="F644" s="91"/>
      <c r="G644" s="91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</row>
    <row r="645" ht="12.75" customHeight="1">
      <c r="A645" s="91"/>
      <c r="B645" s="91"/>
      <c r="C645" s="91"/>
      <c r="D645" s="91"/>
      <c r="E645" s="91"/>
      <c r="F645" s="91"/>
      <c r="G645" s="91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</row>
    <row r="646" ht="12.75" customHeight="1">
      <c r="A646" s="91"/>
      <c r="B646" s="91"/>
      <c r="C646" s="91"/>
      <c r="D646" s="91"/>
      <c r="E646" s="91"/>
      <c r="F646" s="91"/>
      <c r="G646" s="91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</row>
    <row r="647" ht="12.75" customHeight="1">
      <c r="A647" s="91"/>
      <c r="B647" s="91"/>
      <c r="C647" s="91"/>
      <c r="D647" s="91"/>
      <c r="E647" s="91"/>
      <c r="F647" s="91"/>
      <c r="G647" s="91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</row>
    <row r="648" ht="12.75" customHeight="1">
      <c r="A648" s="91"/>
      <c r="B648" s="91"/>
      <c r="C648" s="91"/>
      <c r="D648" s="91"/>
      <c r="E648" s="91"/>
      <c r="F648" s="91"/>
      <c r="G648" s="91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</row>
    <row r="649" ht="12.75" customHeight="1">
      <c r="A649" s="91"/>
      <c r="B649" s="91"/>
      <c r="C649" s="91"/>
      <c r="D649" s="91"/>
      <c r="E649" s="91"/>
      <c r="F649" s="91"/>
      <c r="G649" s="91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</row>
    <row r="650" ht="12.75" customHeight="1">
      <c r="A650" s="91"/>
      <c r="B650" s="91"/>
      <c r="C650" s="91"/>
      <c r="D650" s="91"/>
      <c r="E650" s="91"/>
      <c r="F650" s="91"/>
      <c r="G650" s="91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</row>
    <row r="651" ht="12.75" customHeight="1">
      <c r="A651" s="91"/>
      <c r="B651" s="91"/>
      <c r="C651" s="91"/>
      <c r="D651" s="91"/>
      <c r="E651" s="91"/>
      <c r="F651" s="91"/>
      <c r="G651" s="91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</row>
    <row r="652" ht="12.75" customHeight="1">
      <c r="A652" s="91"/>
      <c r="B652" s="91"/>
      <c r="C652" s="91"/>
      <c r="D652" s="91"/>
      <c r="E652" s="91"/>
      <c r="F652" s="91"/>
      <c r="G652" s="91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</row>
    <row r="653" ht="12.75" customHeight="1">
      <c r="A653" s="91"/>
      <c r="B653" s="91"/>
      <c r="C653" s="91"/>
      <c r="D653" s="91"/>
      <c r="E653" s="91"/>
      <c r="F653" s="91"/>
      <c r="G653" s="91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</row>
    <row r="654" ht="12.75" customHeight="1">
      <c r="A654" s="91"/>
      <c r="B654" s="91"/>
      <c r="C654" s="91"/>
      <c r="D654" s="91"/>
      <c r="E654" s="91"/>
      <c r="F654" s="91"/>
      <c r="G654" s="91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</row>
    <row r="655" ht="12.75" customHeight="1">
      <c r="A655" s="91"/>
      <c r="B655" s="91"/>
      <c r="C655" s="91"/>
      <c r="D655" s="91"/>
      <c r="E655" s="91"/>
      <c r="F655" s="91"/>
      <c r="G655" s="91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</row>
    <row r="656" ht="12.75" customHeight="1">
      <c r="A656" s="91"/>
      <c r="B656" s="91"/>
      <c r="C656" s="91"/>
      <c r="D656" s="91"/>
      <c r="E656" s="91"/>
      <c r="F656" s="91"/>
      <c r="G656" s="91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</row>
    <row r="657" ht="12.75" customHeight="1">
      <c r="A657" s="91"/>
      <c r="B657" s="91"/>
      <c r="C657" s="91"/>
      <c r="D657" s="91"/>
      <c r="E657" s="91"/>
      <c r="F657" s="91"/>
      <c r="G657" s="91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</row>
    <row r="658" ht="12.75" customHeight="1">
      <c r="A658" s="91"/>
      <c r="B658" s="91"/>
      <c r="C658" s="91"/>
      <c r="D658" s="91"/>
      <c r="E658" s="91"/>
      <c r="F658" s="91"/>
      <c r="G658" s="91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</row>
    <row r="659" ht="12.75" customHeight="1">
      <c r="A659" s="91"/>
      <c r="B659" s="91"/>
      <c r="C659" s="91"/>
      <c r="D659" s="91"/>
      <c r="E659" s="91"/>
      <c r="F659" s="91"/>
      <c r="G659" s="91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</row>
    <row r="660" ht="12.75" customHeight="1">
      <c r="A660" s="91"/>
      <c r="B660" s="91"/>
      <c r="C660" s="91"/>
      <c r="D660" s="91"/>
      <c r="E660" s="91"/>
      <c r="F660" s="91"/>
      <c r="G660" s="91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</row>
    <row r="661" ht="12.75" customHeight="1">
      <c r="A661" s="91"/>
      <c r="B661" s="91"/>
      <c r="C661" s="91"/>
      <c r="D661" s="91"/>
      <c r="E661" s="91"/>
      <c r="F661" s="91"/>
      <c r="G661" s="91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</row>
    <row r="662" ht="12.75" customHeight="1">
      <c r="A662" s="91"/>
      <c r="B662" s="91"/>
      <c r="C662" s="91"/>
      <c r="D662" s="91"/>
      <c r="E662" s="91"/>
      <c r="F662" s="91"/>
      <c r="G662" s="91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</row>
    <row r="663" ht="12.75" customHeight="1">
      <c r="A663" s="91"/>
      <c r="B663" s="91"/>
      <c r="C663" s="91"/>
      <c r="D663" s="91"/>
      <c r="E663" s="91"/>
      <c r="F663" s="91"/>
      <c r="G663" s="91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</row>
    <row r="664" ht="12.75" customHeight="1">
      <c r="A664" s="91"/>
      <c r="B664" s="91"/>
      <c r="C664" s="91"/>
      <c r="D664" s="91"/>
      <c r="E664" s="91"/>
      <c r="F664" s="91"/>
      <c r="G664" s="91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</row>
    <row r="665" ht="12.75" customHeight="1">
      <c r="A665" s="91"/>
      <c r="B665" s="91"/>
      <c r="C665" s="91"/>
      <c r="D665" s="91"/>
      <c r="E665" s="91"/>
      <c r="F665" s="91"/>
      <c r="G665" s="91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</row>
    <row r="666" ht="12.75" customHeight="1">
      <c r="A666" s="91"/>
      <c r="B666" s="91"/>
      <c r="C666" s="91"/>
      <c r="D666" s="91"/>
      <c r="E666" s="91"/>
      <c r="F666" s="91"/>
      <c r="G666" s="91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</row>
    <row r="667" ht="12.75" customHeight="1">
      <c r="A667" s="91"/>
      <c r="B667" s="91"/>
      <c r="C667" s="91"/>
      <c r="D667" s="91"/>
      <c r="E667" s="91"/>
      <c r="F667" s="91"/>
      <c r="G667" s="91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</row>
    <row r="668" ht="12.75" customHeight="1">
      <c r="A668" s="91"/>
      <c r="B668" s="91"/>
      <c r="C668" s="91"/>
      <c r="D668" s="91"/>
      <c r="E668" s="91"/>
      <c r="F668" s="91"/>
      <c r="G668" s="91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</row>
    <row r="669" ht="12.75" customHeight="1">
      <c r="A669" s="91"/>
      <c r="B669" s="91"/>
      <c r="C669" s="91"/>
      <c r="D669" s="91"/>
      <c r="E669" s="91"/>
      <c r="F669" s="91"/>
      <c r="G669" s="91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</row>
    <row r="670" ht="12.75" customHeight="1">
      <c r="A670" s="91"/>
      <c r="B670" s="91"/>
      <c r="C670" s="91"/>
      <c r="D670" s="91"/>
      <c r="E670" s="91"/>
      <c r="F670" s="91"/>
      <c r="G670" s="91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</row>
    <row r="671" ht="12.75" customHeight="1">
      <c r="A671" s="91"/>
      <c r="B671" s="91"/>
      <c r="C671" s="91"/>
      <c r="D671" s="91"/>
      <c r="E671" s="91"/>
      <c r="F671" s="91"/>
      <c r="G671" s="91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</row>
    <row r="672" ht="12.75" customHeight="1">
      <c r="A672" s="91"/>
      <c r="B672" s="91"/>
      <c r="C672" s="91"/>
      <c r="D672" s="91"/>
      <c r="E672" s="91"/>
      <c r="F672" s="91"/>
      <c r="G672" s="91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</row>
    <row r="673" ht="12.75" customHeight="1">
      <c r="A673" s="91"/>
      <c r="B673" s="91"/>
      <c r="C673" s="91"/>
      <c r="D673" s="91"/>
      <c r="E673" s="91"/>
      <c r="F673" s="91"/>
      <c r="G673" s="91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</row>
    <row r="674" ht="12.75" customHeight="1">
      <c r="A674" s="91"/>
      <c r="B674" s="91"/>
      <c r="C674" s="91"/>
      <c r="D674" s="91"/>
      <c r="E674" s="91"/>
      <c r="F674" s="91"/>
      <c r="G674" s="91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</row>
    <row r="675" ht="12.75" customHeight="1">
      <c r="A675" s="91"/>
      <c r="B675" s="91"/>
      <c r="C675" s="91"/>
      <c r="D675" s="91"/>
      <c r="E675" s="91"/>
      <c r="F675" s="91"/>
      <c r="G675" s="91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</row>
    <row r="676" ht="12.75" customHeight="1">
      <c r="A676" s="91"/>
      <c r="B676" s="91"/>
      <c r="C676" s="91"/>
      <c r="D676" s="91"/>
      <c r="E676" s="91"/>
      <c r="F676" s="91"/>
      <c r="G676" s="91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</row>
    <row r="677" ht="12.75" customHeight="1">
      <c r="A677" s="91"/>
      <c r="B677" s="91"/>
      <c r="C677" s="91"/>
      <c r="D677" s="91"/>
      <c r="E677" s="91"/>
      <c r="F677" s="91"/>
      <c r="G677" s="91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</row>
    <row r="678" ht="12.75" customHeight="1">
      <c r="A678" s="91"/>
      <c r="B678" s="91"/>
      <c r="C678" s="91"/>
      <c r="D678" s="91"/>
      <c r="E678" s="91"/>
      <c r="F678" s="91"/>
      <c r="G678" s="91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</row>
    <row r="679" ht="12.75" customHeight="1">
      <c r="A679" s="91"/>
      <c r="B679" s="91"/>
      <c r="C679" s="91"/>
      <c r="D679" s="91"/>
      <c r="E679" s="91"/>
      <c r="F679" s="91"/>
      <c r="G679" s="91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</row>
    <row r="680" ht="12.75" customHeight="1">
      <c r="A680" s="91"/>
      <c r="B680" s="91"/>
      <c r="C680" s="91"/>
      <c r="D680" s="91"/>
      <c r="E680" s="91"/>
      <c r="F680" s="91"/>
      <c r="G680" s="91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</row>
    <row r="681" ht="12.75" customHeight="1">
      <c r="A681" s="91"/>
      <c r="B681" s="91"/>
      <c r="C681" s="91"/>
      <c r="D681" s="91"/>
      <c r="E681" s="91"/>
      <c r="F681" s="91"/>
      <c r="G681" s="91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</row>
    <row r="682" ht="12.75" customHeight="1">
      <c r="A682" s="91"/>
      <c r="B682" s="91"/>
      <c r="C682" s="91"/>
      <c r="D682" s="91"/>
      <c r="E682" s="91"/>
      <c r="F682" s="91"/>
      <c r="G682" s="91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</row>
    <row r="683" ht="12.75" customHeight="1">
      <c r="A683" s="91"/>
      <c r="B683" s="91"/>
      <c r="C683" s="91"/>
      <c r="D683" s="91"/>
      <c r="E683" s="91"/>
      <c r="F683" s="91"/>
      <c r="G683" s="91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</row>
    <row r="684" ht="12.75" customHeight="1">
      <c r="A684" s="91"/>
      <c r="B684" s="91"/>
      <c r="C684" s="91"/>
      <c r="D684" s="91"/>
      <c r="E684" s="91"/>
      <c r="F684" s="91"/>
      <c r="G684" s="91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</row>
    <row r="685" ht="12.75" customHeight="1">
      <c r="A685" s="91"/>
      <c r="B685" s="91"/>
      <c r="C685" s="91"/>
      <c r="D685" s="91"/>
      <c r="E685" s="91"/>
      <c r="F685" s="91"/>
      <c r="G685" s="91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</row>
    <row r="686" ht="12.75" customHeight="1">
      <c r="A686" s="91"/>
      <c r="B686" s="91"/>
      <c r="C686" s="91"/>
      <c r="D686" s="91"/>
      <c r="E686" s="91"/>
      <c r="F686" s="91"/>
      <c r="G686" s="91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</row>
    <row r="687" ht="12.75" customHeight="1">
      <c r="A687" s="91"/>
      <c r="B687" s="91"/>
      <c r="C687" s="91"/>
      <c r="D687" s="91"/>
      <c r="E687" s="91"/>
      <c r="F687" s="91"/>
      <c r="G687" s="91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</row>
    <row r="688" ht="12.75" customHeight="1">
      <c r="A688" s="91"/>
      <c r="B688" s="91"/>
      <c r="C688" s="91"/>
      <c r="D688" s="91"/>
      <c r="E688" s="91"/>
      <c r="F688" s="91"/>
      <c r="G688" s="91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</row>
    <row r="689" ht="12.75" customHeight="1">
      <c r="A689" s="91"/>
      <c r="B689" s="91"/>
      <c r="C689" s="91"/>
      <c r="D689" s="91"/>
      <c r="E689" s="91"/>
      <c r="F689" s="91"/>
      <c r="G689" s="91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</row>
    <row r="690" ht="12.75" customHeight="1">
      <c r="A690" s="91"/>
      <c r="B690" s="91"/>
      <c r="C690" s="91"/>
      <c r="D690" s="91"/>
      <c r="E690" s="91"/>
      <c r="F690" s="91"/>
      <c r="G690" s="91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</row>
    <row r="691" ht="12.75" customHeight="1">
      <c r="A691" s="91"/>
      <c r="B691" s="91"/>
      <c r="C691" s="91"/>
      <c r="D691" s="91"/>
      <c r="E691" s="91"/>
      <c r="F691" s="91"/>
      <c r="G691" s="91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</row>
    <row r="692" ht="12.75" customHeight="1">
      <c r="A692" s="91"/>
      <c r="B692" s="91"/>
      <c r="C692" s="91"/>
      <c r="D692" s="91"/>
      <c r="E692" s="91"/>
      <c r="F692" s="91"/>
      <c r="G692" s="91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</row>
    <row r="693" ht="12.75" customHeight="1">
      <c r="A693" s="91"/>
      <c r="B693" s="91"/>
      <c r="C693" s="91"/>
      <c r="D693" s="91"/>
      <c r="E693" s="91"/>
      <c r="F693" s="91"/>
      <c r="G693" s="91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</row>
    <row r="694" ht="12.75" customHeight="1">
      <c r="A694" s="91"/>
      <c r="B694" s="91"/>
      <c r="C694" s="91"/>
      <c r="D694" s="91"/>
      <c r="E694" s="91"/>
      <c r="F694" s="91"/>
      <c r="G694" s="91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</row>
    <row r="695" ht="12.75" customHeight="1">
      <c r="A695" s="91"/>
      <c r="B695" s="91"/>
      <c r="C695" s="91"/>
      <c r="D695" s="91"/>
      <c r="E695" s="91"/>
      <c r="F695" s="91"/>
      <c r="G695" s="91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</row>
    <row r="696" ht="12.75" customHeight="1">
      <c r="A696" s="91"/>
      <c r="B696" s="91"/>
      <c r="C696" s="91"/>
      <c r="D696" s="91"/>
      <c r="E696" s="91"/>
      <c r="F696" s="91"/>
      <c r="G696" s="91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</row>
    <row r="697" ht="12.75" customHeight="1">
      <c r="A697" s="91"/>
      <c r="B697" s="91"/>
      <c r="C697" s="91"/>
      <c r="D697" s="91"/>
      <c r="E697" s="91"/>
      <c r="F697" s="91"/>
      <c r="G697" s="91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</row>
    <row r="698" ht="12.75" customHeight="1">
      <c r="A698" s="91"/>
      <c r="B698" s="91"/>
      <c r="C698" s="91"/>
      <c r="D698" s="91"/>
      <c r="E698" s="91"/>
      <c r="F698" s="91"/>
      <c r="G698" s="91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</row>
    <row r="699" ht="12.75" customHeight="1">
      <c r="A699" s="91"/>
      <c r="B699" s="91"/>
      <c r="C699" s="91"/>
      <c r="D699" s="91"/>
      <c r="E699" s="91"/>
      <c r="F699" s="91"/>
      <c r="G699" s="91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</row>
    <row r="700" ht="12.75" customHeight="1">
      <c r="A700" s="91"/>
      <c r="B700" s="91"/>
      <c r="C700" s="91"/>
      <c r="D700" s="91"/>
      <c r="E700" s="91"/>
      <c r="F700" s="91"/>
      <c r="G700" s="91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</row>
    <row r="701" ht="12.75" customHeight="1">
      <c r="A701" s="91"/>
      <c r="B701" s="91"/>
      <c r="C701" s="91"/>
      <c r="D701" s="91"/>
      <c r="E701" s="91"/>
      <c r="F701" s="91"/>
      <c r="G701" s="91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</row>
    <row r="702" ht="12.75" customHeight="1">
      <c r="A702" s="91"/>
      <c r="B702" s="91"/>
      <c r="C702" s="91"/>
      <c r="D702" s="91"/>
      <c r="E702" s="91"/>
      <c r="F702" s="91"/>
      <c r="G702" s="91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</row>
    <row r="703" ht="12.75" customHeight="1">
      <c r="A703" s="91"/>
      <c r="B703" s="91"/>
      <c r="C703" s="91"/>
      <c r="D703" s="91"/>
      <c r="E703" s="91"/>
      <c r="F703" s="91"/>
      <c r="G703" s="91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</row>
    <row r="704" ht="12.75" customHeight="1">
      <c r="A704" s="91"/>
      <c r="B704" s="91"/>
      <c r="C704" s="91"/>
      <c r="D704" s="91"/>
      <c r="E704" s="91"/>
      <c r="F704" s="91"/>
      <c r="G704" s="91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</row>
    <row r="705" ht="12.75" customHeight="1">
      <c r="A705" s="91"/>
      <c r="B705" s="91"/>
      <c r="C705" s="91"/>
      <c r="D705" s="91"/>
      <c r="E705" s="91"/>
      <c r="F705" s="91"/>
      <c r="G705" s="91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</row>
    <row r="706" ht="12.75" customHeight="1">
      <c r="A706" s="91"/>
      <c r="B706" s="91"/>
      <c r="C706" s="91"/>
      <c r="D706" s="91"/>
      <c r="E706" s="91"/>
      <c r="F706" s="91"/>
      <c r="G706" s="91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</row>
    <row r="707" ht="12.75" customHeight="1">
      <c r="A707" s="91"/>
      <c r="B707" s="91"/>
      <c r="C707" s="91"/>
      <c r="D707" s="91"/>
      <c r="E707" s="91"/>
      <c r="F707" s="91"/>
      <c r="G707" s="91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</row>
    <row r="708" ht="12.75" customHeight="1">
      <c r="A708" s="91"/>
      <c r="B708" s="91"/>
      <c r="C708" s="91"/>
      <c r="D708" s="91"/>
      <c r="E708" s="91"/>
      <c r="F708" s="91"/>
      <c r="G708" s="91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</row>
    <row r="709" ht="12.75" customHeight="1">
      <c r="A709" s="91"/>
      <c r="B709" s="91"/>
      <c r="C709" s="91"/>
      <c r="D709" s="91"/>
      <c r="E709" s="91"/>
      <c r="F709" s="91"/>
      <c r="G709" s="91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</row>
    <row r="710" ht="12.75" customHeight="1">
      <c r="A710" s="91"/>
      <c r="B710" s="91"/>
      <c r="C710" s="91"/>
      <c r="D710" s="91"/>
      <c r="E710" s="91"/>
      <c r="F710" s="91"/>
      <c r="G710" s="91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</row>
    <row r="711" ht="12.75" customHeight="1">
      <c r="A711" s="91"/>
      <c r="B711" s="91"/>
      <c r="C711" s="91"/>
      <c r="D711" s="91"/>
      <c r="E711" s="91"/>
      <c r="F711" s="91"/>
      <c r="G711" s="91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</row>
    <row r="712" ht="12.75" customHeight="1">
      <c r="A712" s="91"/>
      <c r="B712" s="91"/>
      <c r="C712" s="91"/>
      <c r="D712" s="91"/>
      <c r="E712" s="91"/>
      <c r="F712" s="91"/>
      <c r="G712" s="91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</row>
    <row r="713" ht="12.75" customHeight="1">
      <c r="A713" s="91"/>
      <c r="B713" s="91"/>
      <c r="C713" s="91"/>
      <c r="D713" s="91"/>
      <c r="E713" s="91"/>
      <c r="F713" s="91"/>
      <c r="G713" s="91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</row>
    <row r="714" ht="12.75" customHeight="1">
      <c r="A714" s="91"/>
      <c r="B714" s="91"/>
      <c r="C714" s="91"/>
      <c r="D714" s="91"/>
      <c r="E714" s="91"/>
      <c r="F714" s="91"/>
      <c r="G714" s="91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</row>
    <row r="715" ht="12.75" customHeight="1">
      <c r="A715" s="91"/>
      <c r="B715" s="91"/>
      <c r="C715" s="91"/>
      <c r="D715" s="91"/>
      <c r="E715" s="91"/>
      <c r="F715" s="91"/>
      <c r="G715" s="91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</row>
    <row r="716" ht="12.75" customHeight="1">
      <c r="A716" s="91"/>
      <c r="B716" s="91"/>
      <c r="C716" s="91"/>
      <c r="D716" s="91"/>
      <c r="E716" s="91"/>
      <c r="F716" s="91"/>
      <c r="G716" s="91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</row>
    <row r="717" ht="12.75" customHeight="1">
      <c r="A717" s="91"/>
      <c r="B717" s="91"/>
      <c r="C717" s="91"/>
      <c r="D717" s="91"/>
      <c r="E717" s="91"/>
      <c r="F717" s="91"/>
      <c r="G717" s="91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</row>
    <row r="718" ht="12.75" customHeight="1">
      <c r="A718" s="91"/>
      <c r="B718" s="91"/>
      <c r="C718" s="91"/>
      <c r="D718" s="91"/>
      <c r="E718" s="91"/>
      <c r="F718" s="91"/>
      <c r="G718" s="91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</row>
    <row r="719" ht="12.75" customHeight="1">
      <c r="A719" s="91"/>
      <c r="B719" s="91"/>
      <c r="C719" s="91"/>
      <c r="D719" s="91"/>
      <c r="E719" s="91"/>
      <c r="F719" s="91"/>
      <c r="G719" s="91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</row>
    <row r="720" ht="12.75" customHeight="1">
      <c r="A720" s="91"/>
      <c r="B720" s="91"/>
      <c r="C720" s="91"/>
      <c r="D720" s="91"/>
      <c r="E720" s="91"/>
      <c r="F720" s="91"/>
      <c r="G720" s="91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</row>
    <row r="721" ht="12.75" customHeight="1">
      <c r="A721" s="91"/>
      <c r="B721" s="91"/>
      <c r="C721" s="91"/>
      <c r="D721" s="91"/>
      <c r="E721" s="91"/>
      <c r="F721" s="91"/>
      <c r="G721" s="91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</row>
    <row r="722" ht="12.75" customHeight="1">
      <c r="A722" s="91"/>
      <c r="B722" s="91"/>
      <c r="C722" s="91"/>
      <c r="D722" s="91"/>
      <c r="E722" s="91"/>
      <c r="F722" s="91"/>
      <c r="G722" s="91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</row>
    <row r="723" ht="12.75" customHeight="1">
      <c r="A723" s="91"/>
      <c r="B723" s="91"/>
      <c r="C723" s="91"/>
      <c r="D723" s="91"/>
      <c r="E723" s="91"/>
      <c r="F723" s="91"/>
      <c r="G723" s="91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</row>
    <row r="724" ht="12.75" customHeight="1">
      <c r="A724" s="91"/>
      <c r="B724" s="91"/>
      <c r="C724" s="91"/>
      <c r="D724" s="91"/>
      <c r="E724" s="91"/>
      <c r="F724" s="91"/>
      <c r="G724" s="91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</row>
    <row r="725" ht="12.75" customHeight="1">
      <c r="A725" s="91"/>
      <c r="B725" s="91"/>
      <c r="C725" s="91"/>
      <c r="D725" s="91"/>
      <c r="E725" s="91"/>
      <c r="F725" s="91"/>
      <c r="G725" s="91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</row>
    <row r="726" ht="12.75" customHeight="1">
      <c r="A726" s="91"/>
      <c r="B726" s="91"/>
      <c r="C726" s="91"/>
      <c r="D726" s="91"/>
      <c r="E726" s="91"/>
      <c r="F726" s="91"/>
      <c r="G726" s="91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</row>
    <row r="727" ht="12.75" customHeight="1">
      <c r="A727" s="91"/>
      <c r="B727" s="91"/>
      <c r="C727" s="91"/>
      <c r="D727" s="91"/>
      <c r="E727" s="91"/>
      <c r="F727" s="91"/>
      <c r="G727" s="91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</row>
    <row r="728" ht="12.75" customHeight="1">
      <c r="A728" s="91"/>
      <c r="B728" s="91"/>
      <c r="C728" s="91"/>
      <c r="D728" s="91"/>
      <c r="E728" s="91"/>
      <c r="F728" s="91"/>
      <c r="G728" s="91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</row>
    <row r="729" ht="12.75" customHeight="1">
      <c r="A729" s="91"/>
      <c r="B729" s="91"/>
      <c r="C729" s="91"/>
      <c r="D729" s="91"/>
      <c r="E729" s="91"/>
      <c r="F729" s="91"/>
      <c r="G729" s="91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</row>
    <row r="730" ht="12.75" customHeight="1">
      <c r="A730" s="91"/>
      <c r="B730" s="91"/>
      <c r="C730" s="91"/>
      <c r="D730" s="91"/>
      <c r="E730" s="91"/>
      <c r="F730" s="91"/>
      <c r="G730" s="91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</row>
    <row r="731" ht="12.75" customHeight="1">
      <c r="A731" s="91"/>
      <c r="B731" s="91"/>
      <c r="C731" s="91"/>
      <c r="D731" s="91"/>
      <c r="E731" s="91"/>
      <c r="F731" s="91"/>
      <c r="G731" s="91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</row>
    <row r="732" ht="12.75" customHeight="1">
      <c r="A732" s="91"/>
      <c r="B732" s="91"/>
      <c r="C732" s="91"/>
      <c r="D732" s="91"/>
      <c r="E732" s="91"/>
      <c r="F732" s="91"/>
      <c r="G732" s="91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</row>
    <row r="733" ht="12.75" customHeight="1">
      <c r="A733" s="91"/>
      <c r="B733" s="91"/>
      <c r="C733" s="91"/>
      <c r="D733" s="91"/>
      <c r="E733" s="91"/>
      <c r="F733" s="91"/>
      <c r="G733" s="91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</row>
    <row r="734" ht="12.75" customHeight="1">
      <c r="A734" s="91"/>
      <c r="B734" s="91"/>
      <c r="C734" s="91"/>
      <c r="D734" s="91"/>
      <c r="E734" s="91"/>
      <c r="F734" s="91"/>
      <c r="G734" s="91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</row>
    <row r="735" ht="12.75" customHeight="1">
      <c r="A735" s="91"/>
      <c r="B735" s="91"/>
      <c r="C735" s="91"/>
      <c r="D735" s="91"/>
      <c r="E735" s="91"/>
      <c r="F735" s="91"/>
      <c r="G735" s="91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</row>
    <row r="736" ht="12.75" customHeight="1">
      <c r="A736" s="91"/>
      <c r="B736" s="91"/>
      <c r="C736" s="91"/>
      <c r="D736" s="91"/>
      <c r="E736" s="91"/>
      <c r="F736" s="91"/>
      <c r="G736" s="91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</row>
    <row r="737" ht="12.75" customHeight="1">
      <c r="A737" s="91"/>
      <c r="B737" s="91"/>
      <c r="C737" s="91"/>
      <c r="D737" s="91"/>
      <c r="E737" s="91"/>
      <c r="F737" s="91"/>
      <c r="G737" s="91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</row>
    <row r="738" ht="12.75" customHeight="1">
      <c r="A738" s="91"/>
      <c r="B738" s="91"/>
      <c r="C738" s="91"/>
      <c r="D738" s="91"/>
      <c r="E738" s="91"/>
      <c r="F738" s="91"/>
      <c r="G738" s="91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</row>
    <row r="739" ht="12.75" customHeight="1">
      <c r="A739" s="91"/>
      <c r="B739" s="91"/>
      <c r="C739" s="91"/>
      <c r="D739" s="91"/>
      <c r="E739" s="91"/>
      <c r="F739" s="91"/>
      <c r="G739" s="91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</row>
    <row r="740" ht="12.75" customHeight="1">
      <c r="A740" s="91"/>
      <c r="B740" s="91"/>
      <c r="C740" s="91"/>
      <c r="D740" s="91"/>
      <c r="E740" s="91"/>
      <c r="F740" s="91"/>
      <c r="G740" s="91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</row>
    <row r="741" ht="12.75" customHeight="1">
      <c r="A741" s="91"/>
      <c r="B741" s="91"/>
      <c r="C741" s="91"/>
      <c r="D741" s="91"/>
      <c r="E741" s="91"/>
      <c r="F741" s="91"/>
      <c r="G741" s="91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</row>
    <row r="742" ht="12.75" customHeight="1">
      <c r="A742" s="91"/>
      <c r="B742" s="91"/>
      <c r="C742" s="91"/>
      <c r="D742" s="91"/>
      <c r="E742" s="91"/>
      <c r="F742" s="91"/>
      <c r="G742" s="91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</row>
    <row r="743" ht="12.75" customHeight="1">
      <c r="A743" s="91"/>
      <c r="B743" s="91"/>
      <c r="C743" s="91"/>
      <c r="D743" s="91"/>
      <c r="E743" s="91"/>
      <c r="F743" s="91"/>
      <c r="G743" s="91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</row>
    <row r="744" ht="12.75" customHeight="1">
      <c r="A744" s="91"/>
      <c r="B744" s="91"/>
      <c r="C744" s="91"/>
      <c r="D744" s="91"/>
      <c r="E744" s="91"/>
      <c r="F744" s="91"/>
      <c r="G744" s="91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</row>
    <row r="745" ht="12.75" customHeight="1">
      <c r="A745" s="91"/>
      <c r="B745" s="91"/>
      <c r="C745" s="91"/>
      <c r="D745" s="91"/>
      <c r="E745" s="91"/>
      <c r="F745" s="91"/>
      <c r="G745" s="91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</row>
    <row r="746" ht="12.75" customHeight="1">
      <c r="A746" s="91"/>
      <c r="B746" s="91"/>
      <c r="C746" s="91"/>
      <c r="D746" s="91"/>
      <c r="E746" s="91"/>
      <c r="F746" s="91"/>
      <c r="G746" s="91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</row>
    <row r="747" ht="12.75" customHeight="1">
      <c r="A747" s="91"/>
      <c r="B747" s="91"/>
      <c r="C747" s="91"/>
      <c r="D747" s="91"/>
      <c r="E747" s="91"/>
      <c r="F747" s="91"/>
      <c r="G747" s="91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</row>
    <row r="748" ht="12.75" customHeight="1">
      <c r="A748" s="91"/>
      <c r="B748" s="91"/>
      <c r="C748" s="91"/>
      <c r="D748" s="91"/>
      <c r="E748" s="91"/>
      <c r="F748" s="91"/>
      <c r="G748" s="91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</row>
    <row r="749" ht="12.75" customHeight="1">
      <c r="A749" s="91"/>
      <c r="B749" s="91"/>
      <c r="C749" s="91"/>
      <c r="D749" s="91"/>
      <c r="E749" s="91"/>
      <c r="F749" s="91"/>
      <c r="G749" s="91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</row>
    <row r="750" ht="12.75" customHeight="1">
      <c r="A750" s="91"/>
      <c r="B750" s="91"/>
      <c r="C750" s="91"/>
      <c r="D750" s="91"/>
      <c r="E750" s="91"/>
      <c r="F750" s="91"/>
      <c r="G750" s="91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</row>
    <row r="751" ht="12.75" customHeight="1">
      <c r="A751" s="91"/>
      <c r="B751" s="91"/>
      <c r="C751" s="91"/>
      <c r="D751" s="91"/>
      <c r="E751" s="91"/>
      <c r="F751" s="91"/>
      <c r="G751" s="91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</row>
    <row r="752" ht="12.75" customHeight="1">
      <c r="A752" s="91"/>
      <c r="B752" s="91"/>
      <c r="C752" s="91"/>
      <c r="D752" s="91"/>
      <c r="E752" s="91"/>
      <c r="F752" s="91"/>
      <c r="G752" s="91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</row>
    <row r="753" ht="12.75" customHeight="1">
      <c r="A753" s="91"/>
      <c r="B753" s="91"/>
      <c r="C753" s="91"/>
      <c r="D753" s="91"/>
      <c r="E753" s="91"/>
      <c r="F753" s="91"/>
      <c r="G753" s="91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</row>
    <row r="754" ht="12.75" customHeight="1">
      <c r="A754" s="91"/>
      <c r="B754" s="91"/>
      <c r="C754" s="91"/>
      <c r="D754" s="91"/>
      <c r="E754" s="91"/>
      <c r="F754" s="91"/>
      <c r="G754" s="91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</row>
    <row r="755" ht="12.75" customHeight="1">
      <c r="A755" s="91"/>
      <c r="B755" s="91"/>
      <c r="C755" s="91"/>
      <c r="D755" s="91"/>
      <c r="E755" s="91"/>
      <c r="F755" s="91"/>
      <c r="G755" s="91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</row>
    <row r="756" ht="12.75" customHeight="1">
      <c r="A756" s="91"/>
      <c r="B756" s="91"/>
      <c r="C756" s="91"/>
      <c r="D756" s="91"/>
      <c r="E756" s="91"/>
      <c r="F756" s="91"/>
      <c r="G756" s="91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</row>
    <row r="757" ht="12.75" customHeight="1">
      <c r="A757" s="91"/>
      <c r="B757" s="91"/>
      <c r="C757" s="91"/>
      <c r="D757" s="91"/>
      <c r="E757" s="91"/>
      <c r="F757" s="91"/>
      <c r="G757" s="91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</row>
    <row r="758" ht="12.75" customHeight="1">
      <c r="A758" s="91"/>
      <c r="B758" s="91"/>
      <c r="C758" s="91"/>
      <c r="D758" s="91"/>
      <c r="E758" s="91"/>
      <c r="F758" s="91"/>
      <c r="G758" s="91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</row>
    <row r="759" ht="12.75" customHeight="1">
      <c r="A759" s="91"/>
      <c r="B759" s="91"/>
      <c r="C759" s="91"/>
      <c r="D759" s="91"/>
      <c r="E759" s="91"/>
      <c r="F759" s="91"/>
      <c r="G759" s="91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</row>
    <row r="760" ht="12.75" customHeight="1">
      <c r="A760" s="91"/>
      <c r="B760" s="91"/>
      <c r="C760" s="91"/>
      <c r="D760" s="91"/>
      <c r="E760" s="91"/>
      <c r="F760" s="91"/>
      <c r="G760" s="91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</row>
    <row r="761" ht="12.75" customHeight="1">
      <c r="A761" s="91"/>
      <c r="B761" s="91"/>
      <c r="C761" s="91"/>
      <c r="D761" s="91"/>
      <c r="E761" s="91"/>
      <c r="F761" s="91"/>
      <c r="G761" s="91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</row>
    <row r="762" ht="12.75" customHeight="1">
      <c r="A762" s="91"/>
      <c r="B762" s="91"/>
      <c r="C762" s="91"/>
      <c r="D762" s="91"/>
      <c r="E762" s="91"/>
      <c r="F762" s="91"/>
      <c r="G762" s="91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</row>
    <row r="763" ht="12.75" customHeight="1">
      <c r="A763" s="91"/>
      <c r="B763" s="91"/>
      <c r="C763" s="91"/>
      <c r="D763" s="91"/>
      <c r="E763" s="91"/>
      <c r="F763" s="91"/>
      <c r="G763" s="91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</row>
    <row r="764" ht="12.75" customHeight="1">
      <c r="A764" s="91"/>
      <c r="B764" s="91"/>
      <c r="C764" s="91"/>
      <c r="D764" s="91"/>
      <c r="E764" s="91"/>
      <c r="F764" s="91"/>
      <c r="G764" s="91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</row>
    <row r="765" ht="12.75" customHeight="1">
      <c r="A765" s="91"/>
      <c r="B765" s="91"/>
      <c r="C765" s="91"/>
      <c r="D765" s="91"/>
      <c r="E765" s="91"/>
      <c r="F765" s="91"/>
      <c r="G765" s="91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</row>
    <row r="766" ht="12.75" customHeight="1">
      <c r="A766" s="91"/>
      <c r="B766" s="91"/>
      <c r="C766" s="91"/>
      <c r="D766" s="91"/>
      <c r="E766" s="91"/>
      <c r="F766" s="91"/>
      <c r="G766" s="91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</row>
    <row r="767" ht="12.75" customHeight="1">
      <c r="A767" s="91"/>
      <c r="B767" s="91"/>
      <c r="C767" s="91"/>
      <c r="D767" s="91"/>
      <c r="E767" s="91"/>
      <c r="F767" s="91"/>
      <c r="G767" s="91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</row>
    <row r="768" ht="12.75" customHeight="1">
      <c r="A768" s="91"/>
      <c r="B768" s="91"/>
      <c r="C768" s="91"/>
      <c r="D768" s="91"/>
      <c r="E768" s="91"/>
      <c r="F768" s="91"/>
      <c r="G768" s="91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</row>
    <row r="769" ht="12.75" customHeight="1">
      <c r="A769" s="91"/>
      <c r="B769" s="91"/>
      <c r="C769" s="91"/>
      <c r="D769" s="91"/>
      <c r="E769" s="91"/>
      <c r="F769" s="91"/>
      <c r="G769" s="91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</row>
    <row r="770" ht="12.75" customHeight="1">
      <c r="A770" s="91"/>
      <c r="B770" s="91"/>
      <c r="C770" s="91"/>
      <c r="D770" s="91"/>
      <c r="E770" s="91"/>
      <c r="F770" s="91"/>
      <c r="G770" s="91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</row>
    <row r="771" ht="12.75" customHeight="1">
      <c r="A771" s="91"/>
      <c r="B771" s="91"/>
      <c r="C771" s="91"/>
      <c r="D771" s="91"/>
      <c r="E771" s="91"/>
      <c r="F771" s="91"/>
      <c r="G771" s="91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</row>
    <row r="772" ht="12.75" customHeight="1">
      <c r="A772" s="91"/>
      <c r="B772" s="91"/>
      <c r="C772" s="91"/>
      <c r="D772" s="91"/>
      <c r="E772" s="91"/>
      <c r="F772" s="91"/>
      <c r="G772" s="91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</row>
    <row r="773" ht="12.75" customHeight="1">
      <c r="A773" s="91"/>
      <c r="B773" s="91"/>
      <c r="C773" s="91"/>
      <c r="D773" s="91"/>
      <c r="E773" s="91"/>
      <c r="F773" s="91"/>
      <c r="G773" s="91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</row>
    <row r="774" ht="12.75" customHeight="1">
      <c r="A774" s="91"/>
      <c r="B774" s="91"/>
      <c r="C774" s="91"/>
      <c r="D774" s="91"/>
      <c r="E774" s="91"/>
      <c r="F774" s="91"/>
      <c r="G774" s="91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</row>
    <row r="775" ht="12.75" customHeight="1">
      <c r="A775" s="91"/>
      <c r="B775" s="91"/>
      <c r="C775" s="91"/>
      <c r="D775" s="91"/>
      <c r="E775" s="91"/>
      <c r="F775" s="91"/>
      <c r="G775" s="91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</row>
    <row r="776" ht="12.75" customHeight="1">
      <c r="A776" s="91"/>
      <c r="B776" s="91"/>
      <c r="C776" s="91"/>
      <c r="D776" s="91"/>
      <c r="E776" s="91"/>
      <c r="F776" s="91"/>
      <c r="G776" s="91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</row>
    <row r="777" ht="12.75" customHeight="1">
      <c r="A777" s="91"/>
      <c r="B777" s="91"/>
      <c r="C777" s="91"/>
      <c r="D777" s="91"/>
      <c r="E777" s="91"/>
      <c r="F777" s="91"/>
      <c r="G777" s="91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</row>
    <row r="778" ht="12.75" customHeight="1">
      <c r="A778" s="91"/>
      <c r="B778" s="91"/>
      <c r="C778" s="91"/>
      <c r="D778" s="91"/>
      <c r="E778" s="91"/>
      <c r="F778" s="91"/>
      <c r="G778" s="91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</row>
    <row r="779" ht="12.75" customHeight="1">
      <c r="A779" s="91"/>
      <c r="B779" s="91"/>
      <c r="C779" s="91"/>
      <c r="D779" s="91"/>
      <c r="E779" s="91"/>
      <c r="F779" s="91"/>
      <c r="G779" s="91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</row>
    <row r="780" ht="12.75" customHeight="1">
      <c r="A780" s="91"/>
      <c r="B780" s="91"/>
      <c r="C780" s="91"/>
      <c r="D780" s="91"/>
      <c r="E780" s="91"/>
      <c r="F780" s="91"/>
      <c r="G780" s="91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</row>
    <row r="781" ht="12.75" customHeight="1">
      <c r="A781" s="91"/>
      <c r="B781" s="91"/>
      <c r="C781" s="91"/>
      <c r="D781" s="91"/>
      <c r="E781" s="91"/>
      <c r="F781" s="91"/>
      <c r="G781" s="91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</row>
    <row r="782" ht="12.75" customHeight="1">
      <c r="A782" s="91"/>
      <c r="B782" s="91"/>
      <c r="C782" s="91"/>
      <c r="D782" s="91"/>
      <c r="E782" s="91"/>
      <c r="F782" s="91"/>
      <c r="G782" s="91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</row>
    <row r="783" ht="12.75" customHeight="1">
      <c r="A783" s="91"/>
      <c r="B783" s="91"/>
      <c r="C783" s="91"/>
      <c r="D783" s="91"/>
      <c r="E783" s="91"/>
      <c r="F783" s="91"/>
      <c r="G783" s="91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</row>
    <row r="784" ht="12.75" customHeight="1">
      <c r="A784" s="91"/>
      <c r="B784" s="91"/>
      <c r="C784" s="91"/>
      <c r="D784" s="91"/>
      <c r="E784" s="91"/>
      <c r="F784" s="91"/>
      <c r="G784" s="91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</row>
    <row r="785" ht="12.75" customHeight="1">
      <c r="A785" s="91"/>
      <c r="B785" s="91"/>
      <c r="C785" s="91"/>
      <c r="D785" s="91"/>
      <c r="E785" s="91"/>
      <c r="F785" s="91"/>
      <c r="G785" s="91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</row>
    <row r="786" ht="12.75" customHeight="1">
      <c r="A786" s="91"/>
      <c r="B786" s="91"/>
      <c r="C786" s="91"/>
      <c r="D786" s="91"/>
      <c r="E786" s="91"/>
      <c r="F786" s="91"/>
      <c r="G786" s="91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</row>
    <row r="787" ht="12.75" customHeight="1">
      <c r="A787" s="91"/>
      <c r="B787" s="91"/>
      <c r="C787" s="91"/>
      <c r="D787" s="91"/>
      <c r="E787" s="91"/>
      <c r="F787" s="91"/>
      <c r="G787" s="91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</row>
    <row r="788" ht="12.75" customHeight="1">
      <c r="A788" s="91"/>
      <c r="B788" s="91"/>
      <c r="C788" s="91"/>
      <c r="D788" s="91"/>
      <c r="E788" s="91"/>
      <c r="F788" s="91"/>
      <c r="G788" s="91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</row>
    <row r="789" ht="12.75" customHeight="1">
      <c r="A789" s="91"/>
      <c r="B789" s="91"/>
      <c r="C789" s="91"/>
      <c r="D789" s="91"/>
      <c r="E789" s="91"/>
      <c r="F789" s="91"/>
      <c r="G789" s="91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</row>
    <row r="790" ht="12.75" customHeight="1">
      <c r="A790" s="91"/>
      <c r="B790" s="91"/>
      <c r="C790" s="91"/>
      <c r="D790" s="91"/>
      <c r="E790" s="91"/>
      <c r="F790" s="91"/>
      <c r="G790" s="91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</row>
    <row r="791" ht="12.75" customHeight="1">
      <c r="A791" s="91"/>
      <c r="B791" s="91"/>
      <c r="C791" s="91"/>
      <c r="D791" s="91"/>
      <c r="E791" s="91"/>
      <c r="F791" s="91"/>
      <c r="G791" s="91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</row>
    <row r="792" ht="12.75" customHeight="1">
      <c r="A792" s="91"/>
      <c r="B792" s="91"/>
      <c r="C792" s="91"/>
      <c r="D792" s="91"/>
      <c r="E792" s="91"/>
      <c r="F792" s="91"/>
      <c r="G792" s="91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</row>
    <row r="793" ht="12.75" customHeight="1">
      <c r="A793" s="91"/>
      <c r="B793" s="91"/>
      <c r="C793" s="91"/>
      <c r="D793" s="91"/>
      <c r="E793" s="91"/>
      <c r="F793" s="91"/>
      <c r="G793" s="91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</row>
    <row r="794" ht="12.75" customHeight="1">
      <c r="A794" s="91"/>
      <c r="B794" s="91"/>
      <c r="C794" s="91"/>
      <c r="D794" s="91"/>
      <c r="E794" s="91"/>
      <c r="F794" s="91"/>
      <c r="G794" s="91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</row>
    <row r="795" ht="12.75" customHeight="1">
      <c r="A795" s="91"/>
      <c r="B795" s="91"/>
      <c r="C795" s="91"/>
      <c r="D795" s="91"/>
      <c r="E795" s="91"/>
      <c r="F795" s="91"/>
      <c r="G795" s="91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</row>
    <row r="796" ht="12.75" customHeight="1">
      <c r="A796" s="91"/>
      <c r="B796" s="91"/>
      <c r="C796" s="91"/>
      <c r="D796" s="91"/>
      <c r="E796" s="91"/>
      <c r="F796" s="91"/>
      <c r="G796" s="91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</row>
    <row r="797" ht="12.75" customHeight="1">
      <c r="A797" s="91"/>
      <c r="B797" s="91"/>
      <c r="C797" s="91"/>
      <c r="D797" s="91"/>
      <c r="E797" s="91"/>
      <c r="F797" s="91"/>
      <c r="G797" s="91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</row>
    <row r="798" ht="12.75" customHeight="1">
      <c r="A798" s="91"/>
      <c r="B798" s="91"/>
      <c r="C798" s="91"/>
      <c r="D798" s="91"/>
      <c r="E798" s="91"/>
      <c r="F798" s="91"/>
      <c r="G798" s="91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</row>
    <row r="799" ht="12.75" customHeight="1">
      <c r="A799" s="91"/>
      <c r="B799" s="91"/>
      <c r="C799" s="91"/>
      <c r="D799" s="91"/>
      <c r="E799" s="91"/>
      <c r="F799" s="91"/>
      <c r="G799" s="91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</row>
    <row r="800" ht="12.75" customHeight="1">
      <c r="A800" s="91"/>
      <c r="B800" s="91"/>
      <c r="C800" s="91"/>
      <c r="D800" s="91"/>
      <c r="E800" s="91"/>
      <c r="F800" s="91"/>
      <c r="G800" s="91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</row>
    <row r="801" ht="12.75" customHeight="1">
      <c r="A801" s="91"/>
      <c r="B801" s="91"/>
      <c r="C801" s="91"/>
      <c r="D801" s="91"/>
      <c r="E801" s="91"/>
      <c r="F801" s="91"/>
      <c r="G801" s="91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</row>
    <row r="802" ht="12.75" customHeight="1">
      <c r="A802" s="91"/>
      <c r="B802" s="91"/>
      <c r="C802" s="91"/>
      <c r="D802" s="91"/>
      <c r="E802" s="91"/>
      <c r="F802" s="91"/>
      <c r="G802" s="91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</row>
    <row r="803" ht="12.75" customHeight="1">
      <c r="A803" s="91"/>
      <c r="B803" s="91"/>
      <c r="C803" s="91"/>
      <c r="D803" s="91"/>
      <c r="E803" s="91"/>
      <c r="F803" s="91"/>
      <c r="G803" s="91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</row>
    <row r="804" ht="12.75" customHeight="1">
      <c r="A804" s="91"/>
      <c r="B804" s="91"/>
      <c r="C804" s="91"/>
      <c r="D804" s="91"/>
      <c r="E804" s="91"/>
      <c r="F804" s="91"/>
      <c r="G804" s="91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</row>
    <row r="805" ht="12.75" customHeight="1">
      <c r="A805" s="91"/>
      <c r="B805" s="91"/>
      <c r="C805" s="91"/>
      <c r="D805" s="91"/>
      <c r="E805" s="91"/>
      <c r="F805" s="91"/>
      <c r="G805" s="91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</row>
    <row r="806" ht="12.75" customHeight="1">
      <c r="A806" s="91"/>
      <c r="B806" s="91"/>
      <c r="C806" s="91"/>
      <c r="D806" s="91"/>
      <c r="E806" s="91"/>
      <c r="F806" s="91"/>
      <c r="G806" s="91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</row>
    <row r="807" ht="12.75" customHeight="1">
      <c r="A807" s="91"/>
      <c r="B807" s="91"/>
      <c r="C807" s="91"/>
      <c r="D807" s="91"/>
      <c r="E807" s="91"/>
      <c r="F807" s="91"/>
      <c r="G807" s="91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</row>
    <row r="808" ht="12.75" customHeight="1">
      <c r="A808" s="91"/>
      <c r="B808" s="91"/>
      <c r="C808" s="91"/>
      <c r="D808" s="91"/>
      <c r="E808" s="91"/>
      <c r="F808" s="91"/>
      <c r="G808" s="91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</row>
    <row r="809" ht="12.75" customHeight="1">
      <c r="A809" s="91"/>
      <c r="B809" s="91"/>
      <c r="C809" s="91"/>
      <c r="D809" s="91"/>
      <c r="E809" s="91"/>
      <c r="F809" s="91"/>
      <c r="G809" s="91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</row>
    <row r="810" ht="12.75" customHeight="1">
      <c r="A810" s="91"/>
      <c r="B810" s="91"/>
      <c r="C810" s="91"/>
      <c r="D810" s="91"/>
      <c r="E810" s="91"/>
      <c r="F810" s="91"/>
      <c r="G810" s="91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</row>
    <row r="811" ht="12.75" customHeight="1">
      <c r="A811" s="91"/>
      <c r="B811" s="91"/>
      <c r="C811" s="91"/>
      <c r="D811" s="91"/>
      <c r="E811" s="91"/>
      <c r="F811" s="91"/>
      <c r="G811" s="91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</row>
    <row r="812" ht="12.75" customHeight="1">
      <c r="A812" s="91"/>
      <c r="B812" s="91"/>
      <c r="C812" s="91"/>
      <c r="D812" s="91"/>
      <c r="E812" s="91"/>
      <c r="F812" s="91"/>
      <c r="G812" s="91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</row>
    <row r="813" ht="12.75" customHeight="1">
      <c r="A813" s="91"/>
      <c r="B813" s="91"/>
      <c r="C813" s="91"/>
      <c r="D813" s="91"/>
      <c r="E813" s="91"/>
      <c r="F813" s="91"/>
      <c r="G813" s="91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</row>
    <row r="814" ht="12.75" customHeight="1">
      <c r="A814" s="91"/>
      <c r="B814" s="91"/>
      <c r="C814" s="91"/>
      <c r="D814" s="91"/>
      <c r="E814" s="91"/>
      <c r="F814" s="91"/>
      <c r="G814" s="91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</row>
    <row r="815" ht="12.75" customHeight="1">
      <c r="A815" s="91"/>
      <c r="B815" s="91"/>
      <c r="C815" s="91"/>
      <c r="D815" s="91"/>
      <c r="E815" s="91"/>
      <c r="F815" s="91"/>
      <c r="G815" s="91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</row>
    <row r="816" ht="12.75" customHeight="1">
      <c r="A816" s="91"/>
      <c r="B816" s="91"/>
      <c r="C816" s="91"/>
      <c r="D816" s="91"/>
      <c r="E816" s="91"/>
      <c r="F816" s="91"/>
      <c r="G816" s="91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</row>
    <row r="817" ht="12.75" customHeight="1">
      <c r="A817" s="91"/>
      <c r="B817" s="91"/>
      <c r="C817" s="91"/>
      <c r="D817" s="91"/>
      <c r="E817" s="91"/>
      <c r="F817" s="91"/>
      <c r="G817" s="91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</row>
    <row r="818" ht="12.75" customHeight="1">
      <c r="A818" s="91"/>
      <c r="B818" s="91"/>
      <c r="C818" s="91"/>
      <c r="D818" s="91"/>
      <c r="E818" s="91"/>
      <c r="F818" s="91"/>
      <c r="G818" s="91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</row>
    <row r="819" ht="12.75" customHeight="1">
      <c r="A819" s="91"/>
      <c r="B819" s="91"/>
      <c r="C819" s="91"/>
      <c r="D819" s="91"/>
      <c r="E819" s="91"/>
      <c r="F819" s="91"/>
      <c r="G819" s="91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</row>
    <row r="820" ht="12.75" customHeight="1">
      <c r="A820" s="91"/>
      <c r="B820" s="91"/>
      <c r="C820" s="91"/>
      <c r="D820" s="91"/>
      <c r="E820" s="91"/>
      <c r="F820" s="91"/>
      <c r="G820" s="91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</row>
    <row r="821" ht="12.75" customHeight="1">
      <c r="A821" s="91"/>
      <c r="B821" s="91"/>
      <c r="C821" s="91"/>
      <c r="D821" s="91"/>
      <c r="E821" s="91"/>
      <c r="F821" s="91"/>
      <c r="G821" s="91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</row>
    <row r="822" ht="12.75" customHeight="1">
      <c r="A822" s="91"/>
      <c r="B822" s="91"/>
      <c r="C822" s="91"/>
      <c r="D822" s="91"/>
      <c r="E822" s="91"/>
      <c r="F822" s="91"/>
      <c r="G822" s="91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</row>
    <row r="823" ht="12.75" customHeight="1">
      <c r="A823" s="91"/>
      <c r="B823" s="91"/>
      <c r="C823" s="91"/>
      <c r="D823" s="91"/>
      <c r="E823" s="91"/>
      <c r="F823" s="91"/>
      <c r="G823" s="91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</row>
    <row r="824" ht="12.75" customHeight="1">
      <c r="A824" s="91"/>
      <c r="B824" s="91"/>
      <c r="C824" s="91"/>
      <c r="D824" s="91"/>
      <c r="E824" s="91"/>
      <c r="F824" s="91"/>
      <c r="G824" s="91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</row>
    <row r="825" ht="12.75" customHeight="1">
      <c r="A825" s="91"/>
      <c r="B825" s="91"/>
      <c r="C825" s="91"/>
      <c r="D825" s="91"/>
      <c r="E825" s="91"/>
      <c r="F825" s="91"/>
      <c r="G825" s="91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</row>
    <row r="826" ht="12.75" customHeight="1">
      <c r="A826" s="91"/>
      <c r="B826" s="91"/>
      <c r="C826" s="91"/>
      <c r="D826" s="91"/>
      <c r="E826" s="91"/>
      <c r="F826" s="91"/>
      <c r="G826" s="91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</row>
    <row r="827" ht="12.75" customHeight="1">
      <c r="A827" s="91"/>
      <c r="B827" s="91"/>
      <c r="C827" s="91"/>
      <c r="D827" s="91"/>
      <c r="E827" s="91"/>
      <c r="F827" s="91"/>
      <c r="G827" s="91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</row>
    <row r="828" ht="12.75" customHeight="1">
      <c r="A828" s="91"/>
      <c r="B828" s="91"/>
      <c r="C828" s="91"/>
      <c r="D828" s="91"/>
      <c r="E828" s="91"/>
      <c r="F828" s="91"/>
      <c r="G828" s="91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</row>
    <row r="829" ht="12.75" customHeight="1">
      <c r="A829" s="91"/>
      <c r="B829" s="91"/>
      <c r="C829" s="91"/>
      <c r="D829" s="91"/>
      <c r="E829" s="91"/>
      <c r="F829" s="91"/>
      <c r="G829" s="91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</row>
    <row r="830" ht="12.75" customHeight="1">
      <c r="A830" s="91"/>
      <c r="B830" s="91"/>
      <c r="C830" s="91"/>
      <c r="D830" s="91"/>
      <c r="E830" s="91"/>
      <c r="F830" s="91"/>
      <c r="G830" s="91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</row>
    <row r="831" ht="12.75" customHeight="1">
      <c r="A831" s="91"/>
      <c r="B831" s="91"/>
      <c r="C831" s="91"/>
      <c r="D831" s="91"/>
      <c r="E831" s="91"/>
      <c r="F831" s="91"/>
      <c r="G831" s="91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</row>
    <row r="832" ht="12.75" customHeight="1">
      <c r="A832" s="91"/>
      <c r="B832" s="91"/>
      <c r="C832" s="91"/>
      <c r="D832" s="91"/>
      <c r="E832" s="91"/>
      <c r="F832" s="91"/>
      <c r="G832" s="91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</row>
    <row r="833" ht="12.75" customHeight="1">
      <c r="A833" s="91"/>
      <c r="B833" s="91"/>
      <c r="C833" s="91"/>
      <c r="D833" s="91"/>
      <c r="E833" s="91"/>
      <c r="F833" s="91"/>
      <c r="G833" s="91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</row>
    <row r="834" ht="12.75" customHeight="1">
      <c r="A834" s="91"/>
      <c r="B834" s="91"/>
      <c r="C834" s="91"/>
      <c r="D834" s="91"/>
      <c r="E834" s="91"/>
      <c r="F834" s="91"/>
      <c r="G834" s="91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</row>
    <row r="835" ht="12.75" customHeight="1">
      <c r="A835" s="91"/>
      <c r="B835" s="91"/>
      <c r="C835" s="91"/>
      <c r="D835" s="91"/>
      <c r="E835" s="91"/>
      <c r="F835" s="91"/>
      <c r="G835" s="91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</row>
    <row r="836" ht="12.75" customHeight="1">
      <c r="A836" s="91"/>
      <c r="B836" s="91"/>
      <c r="C836" s="91"/>
      <c r="D836" s="91"/>
      <c r="E836" s="91"/>
      <c r="F836" s="91"/>
      <c r="G836" s="91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</row>
    <row r="837" ht="12.75" customHeight="1">
      <c r="A837" s="91"/>
      <c r="B837" s="91"/>
      <c r="C837" s="91"/>
      <c r="D837" s="91"/>
      <c r="E837" s="91"/>
      <c r="F837" s="91"/>
      <c r="G837" s="91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</row>
    <row r="838" ht="12.75" customHeight="1">
      <c r="A838" s="91"/>
      <c r="B838" s="91"/>
      <c r="C838" s="91"/>
      <c r="D838" s="91"/>
      <c r="E838" s="91"/>
      <c r="F838" s="91"/>
      <c r="G838" s="91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</row>
    <row r="839" ht="12.75" customHeight="1">
      <c r="A839" s="91"/>
      <c r="B839" s="91"/>
      <c r="C839" s="91"/>
      <c r="D839" s="91"/>
      <c r="E839" s="91"/>
      <c r="F839" s="91"/>
      <c r="G839" s="91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</row>
    <row r="840" ht="12.75" customHeight="1">
      <c r="A840" s="91"/>
      <c r="B840" s="91"/>
      <c r="C840" s="91"/>
      <c r="D840" s="91"/>
      <c r="E840" s="91"/>
      <c r="F840" s="91"/>
      <c r="G840" s="91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</row>
    <row r="841" ht="12.75" customHeight="1">
      <c r="A841" s="91"/>
      <c r="B841" s="91"/>
      <c r="C841" s="91"/>
      <c r="D841" s="91"/>
      <c r="E841" s="91"/>
      <c r="F841" s="91"/>
      <c r="G841" s="91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</row>
    <row r="842" ht="12.75" customHeight="1">
      <c r="A842" s="91"/>
      <c r="B842" s="91"/>
      <c r="C842" s="91"/>
      <c r="D842" s="91"/>
      <c r="E842" s="91"/>
      <c r="F842" s="91"/>
      <c r="G842" s="91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</row>
    <row r="843" ht="12.75" customHeight="1">
      <c r="A843" s="91"/>
      <c r="B843" s="91"/>
      <c r="C843" s="91"/>
      <c r="D843" s="91"/>
      <c r="E843" s="91"/>
      <c r="F843" s="91"/>
      <c r="G843" s="91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</row>
    <row r="844" ht="12.75" customHeight="1">
      <c r="A844" s="91"/>
      <c r="B844" s="91"/>
      <c r="C844" s="91"/>
      <c r="D844" s="91"/>
      <c r="E844" s="91"/>
      <c r="F844" s="91"/>
      <c r="G844" s="91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</row>
    <row r="845" ht="12.75" customHeight="1">
      <c r="A845" s="91"/>
      <c r="B845" s="91"/>
      <c r="C845" s="91"/>
      <c r="D845" s="91"/>
      <c r="E845" s="91"/>
      <c r="F845" s="91"/>
      <c r="G845" s="91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</row>
    <row r="846" ht="12.75" customHeight="1">
      <c r="A846" s="91"/>
      <c r="B846" s="91"/>
      <c r="C846" s="91"/>
      <c r="D846" s="91"/>
      <c r="E846" s="91"/>
      <c r="F846" s="91"/>
      <c r="G846" s="91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</row>
    <row r="847" ht="12.75" customHeight="1">
      <c r="A847" s="91"/>
      <c r="B847" s="91"/>
      <c r="C847" s="91"/>
      <c r="D847" s="91"/>
      <c r="E847" s="91"/>
      <c r="F847" s="91"/>
      <c r="G847" s="91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</row>
    <row r="848" ht="12.75" customHeight="1">
      <c r="A848" s="91"/>
      <c r="B848" s="91"/>
      <c r="C848" s="91"/>
      <c r="D848" s="91"/>
      <c r="E848" s="91"/>
      <c r="F848" s="91"/>
      <c r="G848" s="91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</row>
    <row r="849" ht="12.75" customHeight="1">
      <c r="A849" s="91"/>
      <c r="B849" s="91"/>
      <c r="C849" s="91"/>
      <c r="D849" s="91"/>
      <c r="E849" s="91"/>
      <c r="F849" s="91"/>
      <c r="G849" s="91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</row>
    <row r="850" ht="12.75" customHeight="1">
      <c r="A850" s="91"/>
      <c r="B850" s="91"/>
      <c r="C850" s="91"/>
      <c r="D850" s="91"/>
      <c r="E850" s="91"/>
      <c r="F850" s="91"/>
      <c r="G850" s="91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</row>
    <row r="851" ht="12.75" customHeight="1">
      <c r="A851" s="91"/>
      <c r="B851" s="91"/>
      <c r="C851" s="91"/>
      <c r="D851" s="91"/>
      <c r="E851" s="91"/>
      <c r="F851" s="91"/>
      <c r="G851" s="91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</row>
    <row r="852" ht="12.75" customHeight="1">
      <c r="A852" s="91"/>
      <c r="B852" s="91"/>
      <c r="C852" s="91"/>
      <c r="D852" s="91"/>
      <c r="E852" s="91"/>
      <c r="F852" s="91"/>
      <c r="G852" s="91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</row>
    <row r="853" ht="12.75" customHeight="1">
      <c r="A853" s="91"/>
      <c r="B853" s="91"/>
      <c r="C853" s="91"/>
      <c r="D853" s="91"/>
      <c r="E853" s="91"/>
      <c r="F853" s="91"/>
      <c r="G853" s="91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</row>
    <row r="854" ht="12.75" customHeight="1">
      <c r="A854" s="91"/>
      <c r="B854" s="91"/>
      <c r="C854" s="91"/>
      <c r="D854" s="91"/>
      <c r="E854" s="91"/>
      <c r="F854" s="91"/>
      <c r="G854" s="91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</row>
    <row r="855" ht="12.75" customHeight="1">
      <c r="A855" s="91"/>
      <c r="B855" s="91"/>
      <c r="C855" s="91"/>
      <c r="D855" s="91"/>
      <c r="E855" s="91"/>
      <c r="F855" s="91"/>
      <c r="G855" s="91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</row>
    <row r="856" ht="12.75" customHeight="1">
      <c r="A856" s="91"/>
      <c r="B856" s="91"/>
      <c r="C856" s="91"/>
      <c r="D856" s="91"/>
      <c r="E856" s="91"/>
      <c r="F856" s="91"/>
      <c r="G856" s="91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</row>
    <row r="857" ht="12.75" customHeight="1">
      <c r="A857" s="91"/>
      <c r="B857" s="91"/>
      <c r="C857" s="91"/>
      <c r="D857" s="91"/>
      <c r="E857" s="91"/>
      <c r="F857" s="91"/>
      <c r="G857" s="91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</row>
    <row r="858" ht="12.75" customHeight="1">
      <c r="A858" s="91"/>
      <c r="B858" s="91"/>
      <c r="C858" s="91"/>
      <c r="D858" s="91"/>
      <c r="E858" s="91"/>
      <c r="F858" s="91"/>
      <c r="G858" s="91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</row>
    <row r="859" ht="12.75" customHeight="1">
      <c r="A859" s="91"/>
      <c r="B859" s="91"/>
      <c r="C859" s="91"/>
      <c r="D859" s="91"/>
      <c r="E859" s="91"/>
      <c r="F859" s="91"/>
      <c r="G859" s="91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</row>
    <row r="860" ht="12.75" customHeight="1">
      <c r="A860" s="91"/>
      <c r="B860" s="91"/>
      <c r="C860" s="91"/>
      <c r="D860" s="91"/>
      <c r="E860" s="91"/>
      <c r="F860" s="91"/>
      <c r="G860" s="91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</row>
    <row r="861" ht="12.75" customHeight="1">
      <c r="A861" s="91"/>
      <c r="B861" s="91"/>
      <c r="C861" s="91"/>
      <c r="D861" s="91"/>
      <c r="E861" s="91"/>
      <c r="F861" s="91"/>
      <c r="G861" s="91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</row>
    <row r="862" ht="12.75" customHeight="1">
      <c r="A862" s="91"/>
      <c r="B862" s="91"/>
      <c r="C862" s="91"/>
      <c r="D862" s="91"/>
      <c r="E862" s="91"/>
      <c r="F862" s="91"/>
      <c r="G862" s="91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</row>
    <row r="863" ht="12.75" customHeight="1">
      <c r="A863" s="91"/>
      <c r="B863" s="91"/>
      <c r="C863" s="91"/>
      <c r="D863" s="91"/>
      <c r="E863" s="91"/>
      <c r="F863" s="91"/>
      <c r="G863" s="91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</row>
    <row r="864" ht="12.75" customHeight="1">
      <c r="A864" s="91"/>
      <c r="B864" s="91"/>
      <c r="C864" s="91"/>
      <c r="D864" s="91"/>
      <c r="E864" s="91"/>
      <c r="F864" s="91"/>
      <c r="G864" s="91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</row>
    <row r="865" ht="12.75" customHeight="1">
      <c r="A865" s="91"/>
      <c r="B865" s="91"/>
      <c r="C865" s="91"/>
      <c r="D865" s="91"/>
      <c r="E865" s="91"/>
      <c r="F865" s="91"/>
      <c r="G865" s="91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</row>
    <row r="866" ht="12.75" customHeight="1">
      <c r="A866" s="91"/>
      <c r="B866" s="91"/>
      <c r="C866" s="91"/>
      <c r="D866" s="91"/>
      <c r="E866" s="91"/>
      <c r="F866" s="91"/>
      <c r="G866" s="91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</row>
    <row r="867" ht="12.75" customHeight="1">
      <c r="A867" s="91"/>
      <c r="B867" s="91"/>
      <c r="C867" s="91"/>
      <c r="D867" s="91"/>
      <c r="E867" s="91"/>
      <c r="F867" s="91"/>
      <c r="G867" s="91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</row>
    <row r="868" ht="12.75" customHeight="1">
      <c r="A868" s="91"/>
      <c r="B868" s="91"/>
      <c r="C868" s="91"/>
      <c r="D868" s="91"/>
      <c r="E868" s="91"/>
      <c r="F868" s="91"/>
      <c r="G868" s="91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</row>
    <row r="869" ht="12.75" customHeight="1">
      <c r="A869" s="91"/>
      <c r="B869" s="91"/>
      <c r="C869" s="91"/>
      <c r="D869" s="91"/>
      <c r="E869" s="91"/>
      <c r="F869" s="91"/>
      <c r="G869" s="91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</row>
    <row r="870" ht="12.75" customHeight="1">
      <c r="A870" s="91"/>
      <c r="B870" s="91"/>
      <c r="C870" s="91"/>
      <c r="D870" s="91"/>
      <c r="E870" s="91"/>
      <c r="F870" s="91"/>
      <c r="G870" s="91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</row>
    <row r="871" ht="12.75" customHeight="1">
      <c r="A871" s="91"/>
      <c r="B871" s="91"/>
      <c r="C871" s="91"/>
      <c r="D871" s="91"/>
      <c r="E871" s="91"/>
      <c r="F871" s="91"/>
      <c r="G871" s="91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</row>
    <row r="872" ht="12.75" customHeight="1">
      <c r="A872" s="91"/>
      <c r="B872" s="91"/>
      <c r="C872" s="91"/>
      <c r="D872" s="91"/>
      <c r="E872" s="91"/>
      <c r="F872" s="91"/>
      <c r="G872" s="91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</row>
    <row r="873" ht="12.75" customHeight="1">
      <c r="A873" s="91"/>
      <c r="B873" s="91"/>
      <c r="C873" s="91"/>
      <c r="D873" s="91"/>
      <c r="E873" s="91"/>
      <c r="F873" s="91"/>
      <c r="G873" s="91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</row>
    <row r="874" ht="12.75" customHeight="1">
      <c r="A874" s="91"/>
      <c r="B874" s="91"/>
      <c r="C874" s="91"/>
      <c r="D874" s="91"/>
      <c r="E874" s="91"/>
      <c r="F874" s="91"/>
      <c r="G874" s="91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</row>
    <row r="875" ht="12.75" customHeight="1">
      <c r="A875" s="91"/>
      <c r="B875" s="91"/>
      <c r="C875" s="91"/>
      <c r="D875" s="91"/>
      <c r="E875" s="91"/>
      <c r="F875" s="91"/>
      <c r="G875" s="91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</row>
    <row r="876" ht="12.75" customHeight="1">
      <c r="A876" s="91"/>
      <c r="B876" s="91"/>
      <c r="C876" s="91"/>
      <c r="D876" s="91"/>
      <c r="E876" s="91"/>
      <c r="F876" s="91"/>
      <c r="G876" s="91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</row>
    <row r="877" ht="12.75" customHeight="1">
      <c r="A877" s="91"/>
      <c r="B877" s="91"/>
      <c r="C877" s="91"/>
      <c r="D877" s="91"/>
      <c r="E877" s="91"/>
      <c r="F877" s="91"/>
      <c r="G877" s="91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</row>
    <row r="878" ht="12.75" customHeight="1">
      <c r="A878" s="91"/>
      <c r="B878" s="91"/>
      <c r="C878" s="91"/>
      <c r="D878" s="91"/>
      <c r="E878" s="91"/>
      <c r="F878" s="91"/>
      <c r="G878" s="91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</row>
    <row r="879" ht="12.75" customHeight="1">
      <c r="A879" s="91"/>
      <c r="B879" s="91"/>
      <c r="C879" s="91"/>
      <c r="D879" s="91"/>
      <c r="E879" s="91"/>
      <c r="F879" s="91"/>
      <c r="G879" s="91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</row>
    <row r="880" ht="12.75" customHeight="1">
      <c r="A880" s="91"/>
      <c r="B880" s="91"/>
      <c r="C880" s="91"/>
      <c r="D880" s="91"/>
      <c r="E880" s="91"/>
      <c r="F880" s="91"/>
      <c r="G880" s="91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</row>
    <row r="881" ht="12.75" customHeight="1">
      <c r="A881" s="91"/>
      <c r="B881" s="91"/>
      <c r="C881" s="91"/>
      <c r="D881" s="91"/>
      <c r="E881" s="91"/>
      <c r="F881" s="91"/>
      <c r="G881" s="91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</row>
    <row r="882" ht="12.75" customHeight="1">
      <c r="A882" s="91"/>
      <c r="B882" s="91"/>
      <c r="C882" s="91"/>
      <c r="D882" s="91"/>
      <c r="E882" s="91"/>
      <c r="F882" s="91"/>
      <c r="G882" s="91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</row>
    <row r="883" ht="12.75" customHeight="1">
      <c r="A883" s="91"/>
      <c r="B883" s="91"/>
      <c r="C883" s="91"/>
      <c r="D883" s="91"/>
      <c r="E883" s="91"/>
      <c r="F883" s="91"/>
      <c r="G883" s="91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</row>
    <row r="884" ht="12.75" customHeight="1">
      <c r="A884" s="91"/>
      <c r="B884" s="91"/>
      <c r="C884" s="91"/>
      <c r="D884" s="91"/>
      <c r="E884" s="91"/>
      <c r="F884" s="91"/>
      <c r="G884" s="91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</row>
    <row r="885" ht="12.75" customHeight="1">
      <c r="A885" s="91"/>
      <c r="B885" s="91"/>
      <c r="C885" s="91"/>
      <c r="D885" s="91"/>
      <c r="E885" s="91"/>
      <c r="F885" s="91"/>
      <c r="G885" s="91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</row>
    <row r="886" ht="12.75" customHeight="1">
      <c r="A886" s="91"/>
      <c r="B886" s="91"/>
      <c r="C886" s="91"/>
      <c r="D886" s="91"/>
      <c r="E886" s="91"/>
      <c r="F886" s="91"/>
      <c r="G886" s="91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</row>
    <row r="887" ht="12.75" customHeight="1">
      <c r="A887" s="91"/>
      <c r="B887" s="91"/>
      <c r="C887" s="91"/>
      <c r="D887" s="91"/>
      <c r="E887" s="91"/>
      <c r="F887" s="91"/>
      <c r="G887" s="91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</row>
    <row r="888" ht="12.75" customHeight="1">
      <c r="A888" s="91"/>
      <c r="B888" s="91"/>
      <c r="C888" s="91"/>
      <c r="D888" s="91"/>
      <c r="E888" s="91"/>
      <c r="F888" s="91"/>
      <c r="G888" s="91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</row>
    <row r="889" ht="12.75" customHeight="1">
      <c r="A889" s="91"/>
      <c r="B889" s="91"/>
      <c r="C889" s="91"/>
      <c r="D889" s="91"/>
      <c r="E889" s="91"/>
      <c r="F889" s="91"/>
      <c r="G889" s="91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</row>
    <row r="890" ht="12.75" customHeight="1">
      <c r="A890" s="91"/>
      <c r="B890" s="91"/>
      <c r="C890" s="91"/>
      <c r="D890" s="91"/>
      <c r="E890" s="91"/>
      <c r="F890" s="91"/>
      <c r="G890" s="91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</row>
    <row r="891" ht="12.75" customHeight="1">
      <c r="A891" s="91"/>
      <c r="B891" s="91"/>
      <c r="C891" s="91"/>
      <c r="D891" s="91"/>
      <c r="E891" s="91"/>
      <c r="F891" s="91"/>
      <c r="G891" s="91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</row>
    <row r="892" ht="12.75" customHeight="1">
      <c r="A892" s="91"/>
      <c r="B892" s="91"/>
      <c r="C892" s="91"/>
      <c r="D892" s="91"/>
      <c r="E892" s="91"/>
      <c r="F892" s="91"/>
      <c r="G892" s="91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</row>
    <row r="893" ht="12.75" customHeight="1">
      <c r="A893" s="91"/>
      <c r="B893" s="91"/>
      <c r="C893" s="91"/>
      <c r="D893" s="91"/>
      <c r="E893" s="91"/>
      <c r="F893" s="91"/>
      <c r="G893" s="91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</row>
    <row r="894" ht="12.75" customHeight="1">
      <c r="A894" s="91"/>
      <c r="B894" s="91"/>
      <c r="C894" s="91"/>
      <c r="D894" s="91"/>
      <c r="E894" s="91"/>
      <c r="F894" s="91"/>
      <c r="G894" s="91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</row>
    <row r="895" ht="12.75" customHeight="1">
      <c r="A895" s="91"/>
      <c r="B895" s="91"/>
      <c r="C895" s="91"/>
      <c r="D895" s="91"/>
      <c r="E895" s="91"/>
      <c r="F895" s="91"/>
      <c r="G895" s="91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</row>
    <row r="896" ht="12.75" customHeight="1">
      <c r="A896" s="91"/>
      <c r="B896" s="91"/>
      <c r="C896" s="91"/>
      <c r="D896" s="91"/>
      <c r="E896" s="91"/>
      <c r="F896" s="91"/>
      <c r="G896" s="91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</row>
    <row r="897" ht="12.75" customHeight="1">
      <c r="A897" s="91"/>
      <c r="B897" s="91"/>
      <c r="C897" s="91"/>
      <c r="D897" s="91"/>
      <c r="E897" s="91"/>
      <c r="F897" s="91"/>
      <c r="G897" s="91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</row>
    <row r="898" ht="12.75" customHeight="1">
      <c r="A898" s="91"/>
      <c r="B898" s="91"/>
      <c r="C898" s="91"/>
      <c r="D898" s="91"/>
      <c r="E898" s="91"/>
      <c r="F898" s="91"/>
      <c r="G898" s="91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</row>
    <row r="899" ht="12.75" customHeight="1">
      <c r="A899" s="91"/>
      <c r="B899" s="91"/>
      <c r="C899" s="91"/>
      <c r="D899" s="91"/>
      <c r="E899" s="91"/>
      <c r="F899" s="91"/>
      <c r="G899" s="91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</row>
    <row r="900" ht="12.75" customHeight="1">
      <c r="A900" s="91"/>
      <c r="B900" s="91"/>
      <c r="C900" s="91"/>
      <c r="D900" s="91"/>
      <c r="E900" s="91"/>
      <c r="F900" s="91"/>
      <c r="G900" s="91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</row>
    <row r="901" ht="12.75" customHeight="1">
      <c r="A901" s="91"/>
      <c r="B901" s="91"/>
      <c r="C901" s="91"/>
      <c r="D901" s="91"/>
      <c r="E901" s="91"/>
      <c r="F901" s="91"/>
      <c r="G901" s="91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</row>
    <row r="902" ht="12.75" customHeight="1">
      <c r="A902" s="91"/>
      <c r="B902" s="91"/>
      <c r="C902" s="91"/>
      <c r="D902" s="91"/>
      <c r="E902" s="91"/>
      <c r="F902" s="91"/>
      <c r="G902" s="91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</row>
    <row r="903" ht="12.75" customHeight="1">
      <c r="A903" s="91"/>
      <c r="B903" s="91"/>
      <c r="C903" s="91"/>
      <c r="D903" s="91"/>
      <c r="E903" s="91"/>
      <c r="F903" s="91"/>
      <c r="G903" s="91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</row>
    <row r="904" ht="12.75" customHeight="1">
      <c r="A904" s="91"/>
      <c r="B904" s="91"/>
      <c r="C904" s="91"/>
      <c r="D904" s="91"/>
      <c r="E904" s="91"/>
      <c r="F904" s="91"/>
      <c r="G904" s="91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</row>
    <row r="905" ht="12.75" customHeight="1">
      <c r="A905" s="91"/>
      <c r="B905" s="91"/>
      <c r="C905" s="91"/>
      <c r="D905" s="91"/>
      <c r="E905" s="91"/>
      <c r="F905" s="91"/>
      <c r="G905" s="91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</row>
    <row r="906" ht="12.75" customHeight="1">
      <c r="A906" s="91"/>
      <c r="B906" s="91"/>
      <c r="C906" s="91"/>
      <c r="D906" s="91"/>
      <c r="E906" s="91"/>
      <c r="F906" s="91"/>
      <c r="G906" s="91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</row>
    <row r="907" ht="12.75" customHeight="1">
      <c r="A907" s="91"/>
      <c r="B907" s="91"/>
      <c r="C907" s="91"/>
      <c r="D907" s="91"/>
      <c r="E907" s="91"/>
      <c r="F907" s="91"/>
      <c r="G907" s="91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</row>
    <row r="908" ht="12.75" customHeight="1">
      <c r="A908" s="91"/>
      <c r="B908" s="91"/>
      <c r="C908" s="91"/>
      <c r="D908" s="91"/>
      <c r="E908" s="91"/>
      <c r="F908" s="91"/>
      <c r="G908" s="91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</row>
    <row r="909" ht="12.75" customHeight="1">
      <c r="A909" s="91"/>
      <c r="B909" s="91"/>
      <c r="C909" s="91"/>
      <c r="D909" s="91"/>
      <c r="E909" s="91"/>
      <c r="F909" s="91"/>
      <c r="G909" s="91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</row>
    <row r="910" ht="12.75" customHeight="1">
      <c r="A910" s="91"/>
      <c r="B910" s="91"/>
      <c r="C910" s="91"/>
      <c r="D910" s="91"/>
      <c r="E910" s="91"/>
      <c r="F910" s="91"/>
      <c r="G910" s="91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</row>
    <row r="911" ht="12.75" customHeight="1">
      <c r="A911" s="91"/>
      <c r="B911" s="91"/>
      <c r="C911" s="91"/>
      <c r="D911" s="91"/>
      <c r="E911" s="91"/>
      <c r="F911" s="91"/>
      <c r="G911" s="91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</row>
    <row r="912" ht="12.75" customHeight="1">
      <c r="A912" s="91"/>
      <c r="B912" s="91"/>
      <c r="C912" s="91"/>
      <c r="D912" s="91"/>
      <c r="E912" s="91"/>
      <c r="F912" s="91"/>
      <c r="G912" s="91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</row>
    <row r="913" ht="12.75" customHeight="1">
      <c r="A913" s="91"/>
      <c r="B913" s="91"/>
      <c r="C913" s="91"/>
      <c r="D913" s="91"/>
      <c r="E913" s="91"/>
      <c r="F913" s="91"/>
      <c r="G913" s="91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</row>
    <row r="914" ht="12.75" customHeight="1">
      <c r="A914" s="91"/>
      <c r="B914" s="91"/>
      <c r="C914" s="91"/>
      <c r="D914" s="91"/>
      <c r="E914" s="91"/>
      <c r="F914" s="91"/>
      <c r="G914" s="91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</row>
    <row r="915" ht="12.75" customHeight="1">
      <c r="A915" s="91"/>
      <c r="B915" s="91"/>
      <c r="C915" s="91"/>
      <c r="D915" s="91"/>
      <c r="E915" s="91"/>
      <c r="F915" s="91"/>
      <c r="G915" s="91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</row>
    <row r="916" ht="12.75" customHeight="1">
      <c r="A916" s="91"/>
      <c r="B916" s="91"/>
      <c r="C916" s="91"/>
      <c r="D916" s="91"/>
      <c r="E916" s="91"/>
      <c r="F916" s="91"/>
      <c r="G916" s="91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</row>
    <row r="917" ht="12.75" customHeight="1">
      <c r="A917" s="91"/>
      <c r="B917" s="91"/>
      <c r="C917" s="91"/>
      <c r="D917" s="91"/>
      <c r="E917" s="91"/>
      <c r="F917" s="91"/>
      <c r="G917" s="91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</row>
    <row r="918" ht="12.75" customHeight="1">
      <c r="A918" s="91"/>
      <c r="B918" s="91"/>
      <c r="C918" s="91"/>
      <c r="D918" s="91"/>
      <c r="E918" s="91"/>
      <c r="F918" s="91"/>
      <c r="G918" s="91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</row>
    <row r="919" ht="12.75" customHeight="1">
      <c r="A919" s="91"/>
      <c r="B919" s="91"/>
      <c r="C919" s="91"/>
      <c r="D919" s="91"/>
      <c r="E919" s="91"/>
      <c r="F919" s="91"/>
      <c r="G919" s="91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</row>
    <row r="920" ht="12.75" customHeight="1">
      <c r="A920" s="91"/>
      <c r="B920" s="91"/>
      <c r="C920" s="91"/>
      <c r="D920" s="91"/>
      <c r="E920" s="91"/>
      <c r="F920" s="91"/>
      <c r="G920" s="91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</row>
    <row r="921" ht="12.75" customHeight="1">
      <c r="A921" s="91"/>
      <c r="B921" s="91"/>
      <c r="C921" s="91"/>
      <c r="D921" s="91"/>
      <c r="E921" s="91"/>
      <c r="F921" s="91"/>
      <c r="G921" s="91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</row>
    <row r="922" ht="12.75" customHeight="1">
      <c r="A922" s="91"/>
      <c r="B922" s="91"/>
      <c r="C922" s="91"/>
      <c r="D922" s="91"/>
      <c r="E922" s="91"/>
      <c r="F922" s="91"/>
      <c r="G922" s="91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</row>
    <row r="923" ht="12.75" customHeight="1">
      <c r="A923" s="91"/>
      <c r="B923" s="91"/>
      <c r="C923" s="91"/>
      <c r="D923" s="91"/>
      <c r="E923" s="91"/>
      <c r="F923" s="91"/>
      <c r="G923" s="91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</row>
    <row r="924" ht="12.75" customHeight="1">
      <c r="A924" s="91"/>
      <c r="B924" s="91"/>
      <c r="C924" s="91"/>
      <c r="D924" s="91"/>
      <c r="E924" s="91"/>
      <c r="F924" s="91"/>
      <c r="G924" s="91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</row>
    <row r="925" ht="12.75" customHeight="1">
      <c r="A925" s="91"/>
      <c r="B925" s="91"/>
      <c r="C925" s="91"/>
      <c r="D925" s="91"/>
      <c r="E925" s="91"/>
      <c r="F925" s="91"/>
      <c r="G925" s="91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</row>
    <row r="926" ht="12.75" customHeight="1">
      <c r="A926" s="91"/>
      <c r="B926" s="91"/>
      <c r="C926" s="91"/>
      <c r="D926" s="91"/>
      <c r="E926" s="91"/>
      <c r="F926" s="91"/>
      <c r="G926" s="91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</row>
    <row r="927" ht="12.75" customHeight="1">
      <c r="A927" s="91"/>
      <c r="B927" s="91"/>
      <c r="C927" s="91"/>
      <c r="D927" s="91"/>
      <c r="E927" s="91"/>
      <c r="F927" s="91"/>
      <c r="G927" s="91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</row>
    <row r="928" ht="12.75" customHeight="1">
      <c r="A928" s="91"/>
      <c r="B928" s="91"/>
      <c r="C928" s="91"/>
      <c r="D928" s="91"/>
      <c r="E928" s="91"/>
      <c r="F928" s="91"/>
      <c r="G928" s="91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</row>
    <row r="929" ht="12.75" customHeight="1">
      <c r="A929" s="91"/>
      <c r="B929" s="91"/>
      <c r="C929" s="91"/>
      <c r="D929" s="91"/>
      <c r="E929" s="91"/>
      <c r="F929" s="91"/>
      <c r="G929" s="91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</row>
    <row r="930" ht="12.75" customHeight="1">
      <c r="A930" s="91"/>
      <c r="B930" s="91"/>
      <c r="C930" s="91"/>
      <c r="D930" s="91"/>
      <c r="E930" s="91"/>
      <c r="F930" s="91"/>
      <c r="G930" s="91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</row>
    <row r="931" ht="12.75" customHeight="1">
      <c r="A931" s="91"/>
      <c r="B931" s="91"/>
      <c r="C931" s="91"/>
      <c r="D931" s="91"/>
      <c r="E931" s="91"/>
      <c r="F931" s="91"/>
      <c r="G931" s="91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</row>
    <row r="932" ht="12.75" customHeight="1">
      <c r="A932" s="91"/>
      <c r="B932" s="91"/>
      <c r="C932" s="91"/>
      <c r="D932" s="91"/>
      <c r="E932" s="91"/>
      <c r="F932" s="91"/>
      <c r="G932" s="91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</row>
    <row r="933" ht="12.75" customHeight="1">
      <c r="A933" s="91"/>
      <c r="B933" s="91"/>
      <c r="C933" s="91"/>
      <c r="D933" s="91"/>
      <c r="E933" s="91"/>
      <c r="F933" s="91"/>
      <c r="G933" s="91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</row>
    <row r="934" ht="12.75" customHeight="1">
      <c r="A934" s="91"/>
      <c r="B934" s="91"/>
      <c r="C934" s="91"/>
      <c r="D934" s="91"/>
      <c r="E934" s="91"/>
      <c r="F934" s="91"/>
      <c r="G934" s="91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</row>
    <row r="935" ht="12.75" customHeight="1">
      <c r="A935" s="91"/>
      <c r="B935" s="91"/>
      <c r="C935" s="91"/>
      <c r="D935" s="91"/>
      <c r="E935" s="91"/>
      <c r="F935" s="91"/>
      <c r="G935" s="91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</row>
    <row r="936" ht="12.75" customHeight="1">
      <c r="A936" s="91"/>
      <c r="B936" s="91"/>
      <c r="C936" s="91"/>
      <c r="D936" s="91"/>
      <c r="E936" s="91"/>
      <c r="F936" s="91"/>
      <c r="G936" s="91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</row>
    <row r="937" ht="12.75" customHeight="1">
      <c r="A937" s="91"/>
      <c r="B937" s="91"/>
      <c r="C937" s="91"/>
      <c r="D937" s="91"/>
      <c r="E937" s="91"/>
      <c r="F937" s="91"/>
      <c r="G937" s="91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</row>
    <row r="938" ht="12.75" customHeight="1">
      <c r="A938" s="91"/>
      <c r="B938" s="91"/>
      <c r="C938" s="91"/>
      <c r="D938" s="91"/>
      <c r="E938" s="91"/>
      <c r="F938" s="91"/>
      <c r="G938" s="91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</row>
    <row r="939" ht="12.75" customHeight="1">
      <c r="A939" s="91"/>
      <c r="B939" s="91"/>
      <c r="C939" s="91"/>
      <c r="D939" s="91"/>
      <c r="E939" s="91"/>
      <c r="F939" s="91"/>
      <c r="G939" s="91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</row>
    <row r="940" ht="12.75" customHeight="1">
      <c r="A940" s="91"/>
      <c r="B940" s="91"/>
      <c r="C940" s="91"/>
      <c r="D940" s="91"/>
      <c r="E940" s="91"/>
      <c r="F940" s="91"/>
      <c r="G940" s="91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</row>
    <row r="941" ht="12.75" customHeight="1">
      <c r="A941" s="91"/>
      <c r="B941" s="91"/>
      <c r="C941" s="91"/>
      <c r="D941" s="91"/>
      <c r="E941" s="91"/>
      <c r="F941" s="91"/>
      <c r="G941" s="91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</row>
    <row r="942" ht="12.75" customHeight="1">
      <c r="A942" s="91"/>
      <c r="B942" s="91"/>
      <c r="C942" s="91"/>
      <c r="D942" s="91"/>
      <c r="E942" s="91"/>
      <c r="F942" s="91"/>
      <c r="G942" s="91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</row>
    <row r="943" ht="12.75" customHeight="1">
      <c r="A943" s="91"/>
      <c r="B943" s="91"/>
      <c r="C943" s="91"/>
      <c r="D943" s="91"/>
      <c r="E943" s="91"/>
      <c r="F943" s="91"/>
      <c r="G943" s="91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</row>
    <row r="944" ht="12.75" customHeight="1">
      <c r="A944" s="91"/>
      <c r="B944" s="91"/>
      <c r="C944" s="91"/>
      <c r="D944" s="91"/>
      <c r="E944" s="91"/>
      <c r="F944" s="91"/>
      <c r="G944" s="91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</row>
    <row r="945" ht="12.75" customHeight="1">
      <c r="A945" s="91"/>
      <c r="B945" s="91"/>
      <c r="C945" s="91"/>
      <c r="D945" s="91"/>
      <c r="E945" s="91"/>
      <c r="F945" s="91"/>
      <c r="G945" s="91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</row>
    <row r="946" ht="12.75" customHeight="1">
      <c r="A946" s="91"/>
      <c r="B946" s="91"/>
      <c r="C946" s="91"/>
      <c r="D946" s="91"/>
      <c r="E946" s="91"/>
      <c r="F946" s="91"/>
      <c r="G946" s="91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</row>
    <row r="947" ht="12.75" customHeight="1">
      <c r="A947" s="91"/>
      <c r="B947" s="91"/>
      <c r="C947" s="91"/>
      <c r="D947" s="91"/>
      <c r="E947" s="91"/>
      <c r="F947" s="91"/>
      <c r="G947" s="91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</row>
    <row r="948" ht="12.75" customHeight="1">
      <c r="A948" s="91"/>
      <c r="B948" s="91"/>
      <c r="C948" s="91"/>
      <c r="D948" s="91"/>
      <c r="E948" s="91"/>
      <c r="F948" s="91"/>
      <c r="G948" s="91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</row>
    <row r="949" ht="12.75" customHeight="1">
      <c r="A949" s="91"/>
      <c r="B949" s="91"/>
      <c r="C949" s="91"/>
      <c r="D949" s="91"/>
      <c r="E949" s="91"/>
      <c r="F949" s="91"/>
      <c r="G949" s="91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</row>
    <row r="950" ht="12.75" customHeight="1">
      <c r="A950" s="91"/>
      <c r="B950" s="91"/>
      <c r="C950" s="91"/>
      <c r="D950" s="91"/>
      <c r="E950" s="91"/>
      <c r="F950" s="91"/>
      <c r="G950" s="91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</row>
    <row r="951" ht="12.75" customHeight="1">
      <c r="A951" s="91"/>
      <c r="B951" s="91"/>
      <c r="C951" s="91"/>
      <c r="D951" s="91"/>
      <c r="E951" s="91"/>
      <c r="F951" s="91"/>
      <c r="G951" s="91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</row>
    <row r="952" ht="12.75" customHeight="1">
      <c r="A952" s="91"/>
      <c r="B952" s="91"/>
      <c r="C952" s="91"/>
      <c r="D952" s="91"/>
      <c r="E952" s="91"/>
      <c r="F952" s="91"/>
      <c r="G952" s="91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</row>
    <row r="953" ht="12.75" customHeight="1">
      <c r="A953" s="91"/>
      <c r="B953" s="91"/>
      <c r="C953" s="91"/>
      <c r="D953" s="91"/>
      <c r="E953" s="91"/>
      <c r="F953" s="91"/>
      <c r="G953" s="91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</row>
    <row r="954" ht="12.75" customHeight="1">
      <c r="A954" s="91"/>
      <c r="B954" s="91"/>
      <c r="C954" s="91"/>
      <c r="D954" s="91"/>
      <c r="E954" s="91"/>
      <c r="F954" s="91"/>
      <c r="G954" s="91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</row>
    <row r="955" ht="12.75" customHeight="1">
      <c r="A955" s="91"/>
      <c r="B955" s="91"/>
      <c r="C955" s="91"/>
      <c r="D955" s="91"/>
      <c r="E955" s="91"/>
      <c r="F955" s="91"/>
      <c r="G955" s="91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</row>
    <row r="956" ht="12.75" customHeight="1">
      <c r="A956" s="91"/>
      <c r="B956" s="91"/>
      <c r="C956" s="91"/>
      <c r="D956" s="91"/>
      <c r="E956" s="91"/>
      <c r="F956" s="91"/>
      <c r="G956" s="91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</row>
    <row r="957" ht="12.75" customHeight="1">
      <c r="A957" s="91"/>
      <c r="B957" s="91"/>
      <c r="C957" s="91"/>
      <c r="D957" s="91"/>
      <c r="E957" s="91"/>
      <c r="F957" s="91"/>
      <c r="G957" s="91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</row>
    <row r="958" ht="12.75" customHeight="1">
      <c r="A958" s="91"/>
      <c r="B958" s="91"/>
      <c r="C958" s="91"/>
      <c r="D958" s="91"/>
      <c r="E958" s="91"/>
      <c r="F958" s="91"/>
      <c r="G958" s="91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</row>
    <row r="959" ht="12.75" customHeight="1">
      <c r="A959" s="91"/>
      <c r="B959" s="91"/>
      <c r="C959" s="91"/>
      <c r="D959" s="91"/>
      <c r="E959" s="91"/>
      <c r="F959" s="91"/>
      <c r="G959" s="91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</row>
    <row r="960" ht="12.75" customHeight="1">
      <c r="A960" s="91"/>
      <c r="B960" s="91"/>
      <c r="C960" s="91"/>
      <c r="D960" s="91"/>
      <c r="E960" s="91"/>
      <c r="F960" s="91"/>
      <c r="G960" s="91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</row>
    <row r="961" ht="12.75" customHeight="1">
      <c r="A961" s="91"/>
      <c r="B961" s="91"/>
      <c r="C961" s="91"/>
      <c r="D961" s="91"/>
      <c r="E961" s="91"/>
      <c r="F961" s="91"/>
      <c r="G961" s="91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</row>
    <row r="962" ht="12.75" customHeight="1">
      <c r="A962" s="91"/>
      <c r="B962" s="91"/>
      <c r="C962" s="91"/>
      <c r="D962" s="91"/>
      <c r="E962" s="91"/>
      <c r="F962" s="91"/>
      <c r="G962" s="91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</row>
    <row r="963" ht="12.75" customHeight="1">
      <c r="A963" s="91"/>
      <c r="B963" s="91"/>
      <c r="C963" s="91"/>
      <c r="D963" s="91"/>
      <c r="E963" s="91"/>
      <c r="F963" s="91"/>
      <c r="G963" s="91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</row>
    <row r="964" ht="12.75" customHeight="1">
      <c r="A964" s="91"/>
      <c r="B964" s="91"/>
      <c r="C964" s="91"/>
      <c r="D964" s="91"/>
      <c r="E964" s="91"/>
      <c r="F964" s="91"/>
      <c r="G964" s="91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</row>
    <row r="965" ht="12.75" customHeight="1">
      <c r="A965" s="91"/>
      <c r="B965" s="91"/>
      <c r="C965" s="91"/>
      <c r="D965" s="91"/>
      <c r="E965" s="91"/>
      <c r="F965" s="91"/>
      <c r="G965" s="91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</row>
    <row r="966" ht="12.75" customHeight="1">
      <c r="A966" s="91"/>
      <c r="B966" s="91"/>
      <c r="C966" s="91"/>
      <c r="D966" s="91"/>
      <c r="E966" s="91"/>
      <c r="F966" s="91"/>
      <c r="G966" s="91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</row>
    <row r="967" ht="12.75" customHeight="1">
      <c r="A967" s="91"/>
      <c r="B967" s="91"/>
      <c r="C967" s="91"/>
      <c r="D967" s="91"/>
      <c r="E967" s="91"/>
      <c r="F967" s="91"/>
      <c r="G967" s="91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</row>
    <row r="968" ht="12.75" customHeight="1">
      <c r="A968" s="91"/>
      <c r="B968" s="91"/>
      <c r="C968" s="91"/>
      <c r="D968" s="91"/>
      <c r="E968" s="91"/>
      <c r="F968" s="91"/>
      <c r="G968" s="91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</row>
    <row r="969" ht="12.75" customHeight="1">
      <c r="A969" s="91"/>
      <c r="B969" s="91"/>
      <c r="C969" s="91"/>
      <c r="D969" s="91"/>
      <c r="E969" s="91"/>
      <c r="F969" s="91"/>
      <c r="G969" s="91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</row>
    <row r="970" ht="12.75" customHeight="1">
      <c r="A970" s="91"/>
      <c r="B970" s="91"/>
      <c r="C970" s="91"/>
      <c r="D970" s="91"/>
      <c r="E970" s="91"/>
      <c r="F970" s="91"/>
      <c r="G970" s="91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</row>
    <row r="971" ht="12.75" customHeight="1">
      <c r="A971" s="91"/>
      <c r="B971" s="91"/>
      <c r="C971" s="91"/>
      <c r="D971" s="91"/>
      <c r="E971" s="91"/>
      <c r="F971" s="91"/>
      <c r="G971" s="91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</row>
    <row r="972" ht="12.75" customHeight="1">
      <c r="A972" s="91"/>
      <c r="B972" s="91"/>
      <c r="C972" s="91"/>
      <c r="D972" s="91"/>
      <c r="E972" s="91"/>
      <c r="F972" s="91"/>
      <c r="G972" s="91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</row>
    <row r="973" ht="12.75" customHeight="1">
      <c r="A973" s="91"/>
      <c r="B973" s="91"/>
      <c r="C973" s="91"/>
      <c r="D973" s="91"/>
      <c r="E973" s="91"/>
      <c r="F973" s="91"/>
      <c r="G973" s="91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</row>
    <row r="974" ht="12.75" customHeight="1">
      <c r="A974" s="91"/>
      <c r="B974" s="91"/>
      <c r="C974" s="91"/>
      <c r="D974" s="91"/>
      <c r="E974" s="91"/>
      <c r="F974" s="91"/>
      <c r="G974" s="91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</row>
    <row r="975" ht="12.75" customHeight="1">
      <c r="A975" s="91"/>
      <c r="B975" s="91"/>
      <c r="C975" s="91"/>
      <c r="D975" s="91"/>
      <c r="E975" s="91"/>
      <c r="F975" s="91"/>
      <c r="G975" s="91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</row>
    <row r="976" ht="12.75" customHeight="1">
      <c r="A976" s="91"/>
      <c r="B976" s="91"/>
      <c r="C976" s="91"/>
      <c r="D976" s="91"/>
      <c r="E976" s="91"/>
      <c r="F976" s="91"/>
      <c r="G976" s="91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</row>
    <row r="977" ht="12.75" customHeight="1">
      <c r="A977" s="91"/>
      <c r="B977" s="91"/>
      <c r="C977" s="91"/>
      <c r="D977" s="91"/>
      <c r="E977" s="91"/>
      <c r="F977" s="91"/>
      <c r="G977" s="91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</row>
    <row r="978" ht="12.75" customHeight="1">
      <c r="A978" s="91"/>
      <c r="B978" s="91"/>
      <c r="C978" s="91"/>
      <c r="D978" s="91"/>
      <c r="E978" s="91"/>
      <c r="F978" s="91"/>
      <c r="G978" s="91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</row>
    <row r="979" ht="12.75" customHeight="1">
      <c r="A979" s="91"/>
      <c r="B979" s="91"/>
      <c r="C979" s="91"/>
      <c r="D979" s="91"/>
      <c r="E979" s="91"/>
      <c r="F979" s="91"/>
      <c r="G979" s="91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</row>
    <row r="980" ht="12.75" customHeight="1">
      <c r="A980" s="91"/>
      <c r="B980" s="91"/>
      <c r="C980" s="91"/>
      <c r="D980" s="91"/>
      <c r="E980" s="91"/>
      <c r="F980" s="91"/>
      <c r="G980" s="91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</row>
    <row r="981" ht="12.75" customHeight="1">
      <c r="A981" s="91"/>
      <c r="B981" s="91"/>
      <c r="C981" s="91"/>
      <c r="D981" s="91"/>
      <c r="E981" s="91"/>
      <c r="F981" s="91"/>
      <c r="G981" s="91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</row>
    <row r="982" ht="12.75" customHeight="1">
      <c r="A982" s="91"/>
      <c r="B982" s="91"/>
      <c r="C982" s="91"/>
      <c r="D982" s="91"/>
      <c r="E982" s="91"/>
      <c r="F982" s="91"/>
      <c r="G982" s="91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</row>
    <row r="983" ht="12.75" customHeight="1">
      <c r="A983" s="91"/>
      <c r="B983" s="91"/>
      <c r="C983" s="91"/>
      <c r="D983" s="91"/>
      <c r="E983" s="91"/>
      <c r="F983" s="91"/>
      <c r="G983" s="91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</row>
    <row r="984" ht="12.75" customHeight="1">
      <c r="A984" s="91"/>
      <c r="B984" s="91"/>
      <c r="C984" s="91"/>
      <c r="D984" s="91"/>
      <c r="E984" s="91"/>
      <c r="F984" s="91"/>
      <c r="G984" s="91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</row>
    <row r="985" ht="12.75" customHeight="1">
      <c r="A985" s="91"/>
      <c r="B985" s="91"/>
      <c r="C985" s="91"/>
      <c r="D985" s="91"/>
      <c r="E985" s="91"/>
      <c r="F985" s="91"/>
      <c r="G985" s="91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</row>
    <row r="986" ht="12.75" customHeight="1">
      <c r="A986" s="91"/>
      <c r="B986" s="91"/>
      <c r="C986" s="91"/>
      <c r="D986" s="91"/>
      <c r="E986" s="91"/>
      <c r="F986" s="91"/>
      <c r="G986" s="91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</row>
    <row r="987" ht="12.75" customHeight="1">
      <c r="A987" s="91"/>
      <c r="B987" s="91"/>
      <c r="C987" s="91"/>
      <c r="D987" s="91"/>
      <c r="E987" s="91"/>
      <c r="F987" s="91"/>
      <c r="G987" s="91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</row>
    <row r="988" ht="12.75" customHeight="1">
      <c r="A988" s="91"/>
      <c r="B988" s="91"/>
      <c r="C988" s="91"/>
      <c r="D988" s="91"/>
      <c r="E988" s="91"/>
      <c r="F988" s="91"/>
      <c r="G988" s="91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</row>
    <row r="989" ht="12.75" customHeight="1">
      <c r="A989" s="91"/>
      <c r="B989" s="91"/>
      <c r="C989" s="91"/>
      <c r="D989" s="91"/>
      <c r="E989" s="91"/>
      <c r="F989" s="91"/>
      <c r="G989" s="91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</row>
    <row r="990" ht="12.75" customHeight="1">
      <c r="A990" s="91"/>
      <c r="B990" s="91"/>
      <c r="C990" s="91"/>
      <c r="D990" s="91"/>
      <c r="E990" s="91"/>
      <c r="F990" s="91"/>
      <c r="G990" s="91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</row>
    <row r="991" ht="12.75" customHeight="1">
      <c r="A991" s="91"/>
      <c r="B991" s="91"/>
      <c r="C991" s="91"/>
      <c r="D991" s="91"/>
      <c r="E991" s="91"/>
      <c r="F991" s="91"/>
      <c r="G991" s="91"/>
      <c r="H991" s="91"/>
      <c r="I991" s="91"/>
      <c r="J991" s="91"/>
      <c r="K991" s="91"/>
      <c r="L991" s="91"/>
      <c r="M991" s="91"/>
      <c r="N991" s="91"/>
      <c r="O991" s="91"/>
      <c r="P991" s="91"/>
      <c r="Q991" s="91"/>
      <c r="R991" s="91"/>
      <c r="S991" s="91"/>
    </row>
    <row r="992" ht="12.75" customHeight="1">
      <c r="A992" s="91"/>
      <c r="B992" s="91"/>
      <c r="C992" s="91"/>
      <c r="D992" s="91"/>
      <c r="E992" s="91"/>
      <c r="F992" s="91"/>
      <c r="G992" s="91"/>
      <c r="H992" s="91"/>
      <c r="I992" s="91"/>
      <c r="J992" s="91"/>
      <c r="K992" s="91"/>
      <c r="L992" s="91"/>
      <c r="M992" s="91"/>
      <c r="N992" s="91"/>
      <c r="O992" s="91"/>
      <c r="P992" s="91"/>
      <c r="Q992" s="91"/>
      <c r="R992" s="91"/>
      <c r="S992" s="91"/>
    </row>
    <row r="993" ht="12.75" customHeight="1">
      <c r="A993" s="91"/>
      <c r="B993" s="91"/>
      <c r="C993" s="91"/>
      <c r="D993" s="91"/>
      <c r="E993" s="91"/>
      <c r="F993" s="91"/>
      <c r="G993" s="91"/>
      <c r="H993" s="91"/>
      <c r="I993" s="91"/>
      <c r="J993" s="91"/>
      <c r="K993" s="91"/>
      <c r="L993" s="91"/>
      <c r="M993" s="91"/>
      <c r="N993" s="91"/>
      <c r="O993" s="91"/>
      <c r="P993" s="91"/>
      <c r="Q993" s="91"/>
      <c r="R993" s="91"/>
      <c r="S993" s="91"/>
    </row>
    <row r="994" ht="12.75" customHeight="1">
      <c r="A994" s="91"/>
      <c r="B994" s="91"/>
      <c r="C994" s="91"/>
      <c r="D994" s="91"/>
      <c r="E994" s="91"/>
      <c r="F994" s="91"/>
      <c r="G994" s="91"/>
      <c r="H994" s="91"/>
      <c r="I994" s="91"/>
      <c r="J994" s="91"/>
      <c r="K994" s="91"/>
      <c r="L994" s="91"/>
      <c r="M994" s="91"/>
      <c r="N994" s="91"/>
      <c r="O994" s="91"/>
      <c r="P994" s="91"/>
      <c r="Q994" s="91"/>
      <c r="R994" s="91"/>
      <c r="S994" s="91"/>
    </row>
    <row r="995" ht="12.75" customHeight="1">
      <c r="A995" s="91"/>
      <c r="B995" s="91"/>
      <c r="C995" s="91"/>
      <c r="D995" s="91"/>
      <c r="E995" s="91"/>
      <c r="F995" s="91"/>
      <c r="G995" s="91"/>
      <c r="H995" s="91"/>
      <c r="I995" s="91"/>
      <c r="J995" s="91"/>
      <c r="K995" s="91"/>
      <c r="L995" s="91"/>
      <c r="M995" s="91"/>
      <c r="N995" s="91"/>
      <c r="O995" s="91"/>
      <c r="P995" s="91"/>
      <c r="Q995" s="91"/>
      <c r="R995" s="91"/>
      <c r="S995" s="91"/>
    </row>
    <row r="996" ht="12.75" customHeight="1">
      <c r="A996" s="91"/>
      <c r="B996" s="91"/>
      <c r="C996" s="91"/>
      <c r="D996" s="91"/>
      <c r="E996" s="91"/>
      <c r="F996" s="91"/>
      <c r="G996" s="91"/>
      <c r="H996" s="91"/>
      <c r="I996" s="91"/>
      <c r="J996" s="91"/>
      <c r="K996" s="91"/>
      <c r="L996" s="91"/>
      <c r="M996" s="91"/>
      <c r="N996" s="91"/>
      <c r="O996" s="91"/>
      <c r="P996" s="91"/>
      <c r="Q996" s="91"/>
      <c r="R996" s="91"/>
      <c r="S996" s="91"/>
    </row>
    <row r="997" ht="12.75" customHeight="1">
      <c r="A997" s="91"/>
      <c r="B997" s="91"/>
      <c r="C997" s="91"/>
      <c r="D997" s="91"/>
      <c r="E997" s="91"/>
      <c r="F997" s="91"/>
      <c r="G997" s="91"/>
      <c r="H997" s="91"/>
      <c r="I997" s="91"/>
      <c r="J997" s="91"/>
      <c r="K997" s="91"/>
      <c r="L997" s="91"/>
      <c r="M997" s="91"/>
      <c r="N997" s="91"/>
      <c r="O997" s="91"/>
      <c r="P997" s="91"/>
      <c r="Q997" s="91"/>
      <c r="R997" s="91"/>
      <c r="S997" s="91"/>
    </row>
    <row r="998" ht="12.75" customHeight="1">
      <c r="A998" s="91"/>
      <c r="B998" s="91"/>
      <c r="C998" s="91"/>
      <c r="D998" s="91"/>
      <c r="E998" s="91"/>
      <c r="F998" s="91"/>
      <c r="G998" s="91"/>
      <c r="H998" s="91"/>
      <c r="I998" s="91"/>
      <c r="J998" s="91"/>
      <c r="K998" s="91"/>
      <c r="L998" s="91"/>
      <c r="M998" s="91"/>
      <c r="N998" s="91"/>
      <c r="O998" s="91"/>
      <c r="P998" s="91"/>
      <c r="Q998" s="91"/>
      <c r="R998" s="91"/>
      <c r="S998" s="91"/>
    </row>
    <row r="999" ht="12.75" customHeight="1">
      <c r="A999" s="91"/>
      <c r="B999" s="91"/>
      <c r="C999" s="91"/>
      <c r="D999" s="91"/>
      <c r="E999" s="91"/>
      <c r="F999" s="91"/>
      <c r="G999" s="91"/>
      <c r="H999" s="91"/>
      <c r="I999" s="91"/>
      <c r="J999" s="91"/>
      <c r="K999" s="91"/>
      <c r="L999" s="91"/>
      <c r="M999" s="91"/>
      <c r="N999" s="91"/>
      <c r="O999" s="91"/>
      <c r="P999" s="91"/>
      <c r="Q999" s="91"/>
      <c r="R999" s="91"/>
      <c r="S999" s="91"/>
    </row>
    <row r="1000" ht="12.75" customHeight="1">
      <c r="A1000" s="91"/>
      <c r="B1000" s="91"/>
      <c r="C1000" s="91"/>
      <c r="D1000" s="91"/>
      <c r="E1000" s="91"/>
      <c r="F1000" s="91"/>
      <c r="G1000" s="91"/>
      <c r="H1000" s="91"/>
      <c r="I1000" s="91"/>
      <c r="J1000" s="91"/>
      <c r="K1000" s="91"/>
      <c r="L1000" s="91"/>
      <c r="M1000" s="91"/>
      <c r="N1000" s="91"/>
      <c r="O1000" s="91"/>
      <c r="P1000" s="91"/>
      <c r="Q1000" s="91"/>
      <c r="R1000" s="91"/>
      <c r="S1000" s="91"/>
    </row>
  </sheetData>
  <mergeCells count="5">
    <mergeCell ref="A1:L1"/>
    <mergeCell ref="A14:C14"/>
    <mergeCell ref="D14:F14"/>
    <mergeCell ref="H14:I14"/>
    <mergeCell ref="J14:K1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0"/>
  </cols>
  <sheetData>
    <row r="1" ht="15.0" customHeight="1">
      <c r="H1" s="5"/>
      <c r="V1" s="5"/>
      <c r="W1" s="5"/>
      <c r="X1" s="5"/>
      <c r="Y1" s="5"/>
      <c r="Z1" s="5"/>
    </row>
    <row r="2" ht="15.0" customHeight="1">
      <c r="H2" s="5"/>
      <c r="V2" s="5"/>
      <c r="W2" s="5"/>
      <c r="X2" s="5"/>
      <c r="Y2" s="5"/>
      <c r="Z2" s="5"/>
    </row>
    <row r="3" ht="15.75" customHeight="1"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7"/>
      <c r="U3" s="7"/>
      <c r="V3" s="7"/>
      <c r="W3" s="7"/>
      <c r="X3" s="7"/>
      <c r="Y3" s="7"/>
      <c r="Z3" s="7"/>
    </row>
    <row r="4" ht="15.75" customHeight="1"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.75" customHeight="1">
      <c r="H5" s="18"/>
      <c r="I5" s="16"/>
      <c r="J5" s="77"/>
      <c r="K5" s="20"/>
      <c r="L5" s="20"/>
      <c r="M5" s="20"/>
      <c r="N5" s="20"/>
      <c r="O5" s="20"/>
      <c r="P5" s="20"/>
      <c r="Q5" s="16"/>
      <c r="R5" s="16"/>
      <c r="S5" s="16"/>
      <c r="T5" s="16"/>
      <c r="V5" s="77"/>
      <c r="X5" s="16"/>
      <c r="Z5" s="77"/>
    </row>
    <row r="6" ht="12.75" customHeight="1">
      <c r="H6" s="16"/>
      <c r="I6" s="16"/>
      <c r="J6" s="20"/>
      <c r="K6" s="20"/>
      <c r="L6" s="20"/>
      <c r="M6" s="16"/>
      <c r="N6" s="16"/>
      <c r="O6" s="16"/>
      <c r="P6" s="16"/>
      <c r="Q6" s="16"/>
      <c r="R6" s="16"/>
      <c r="S6" s="16"/>
      <c r="T6" s="16"/>
      <c r="V6" s="77"/>
      <c r="X6" s="16"/>
      <c r="Z6" s="77"/>
    </row>
    <row r="7" ht="12.75" customHeight="1">
      <c r="H7" s="18"/>
      <c r="I7" s="16"/>
      <c r="J7" s="77"/>
      <c r="K7" s="16"/>
      <c r="L7" s="16"/>
      <c r="M7" s="16"/>
      <c r="N7" s="16"/>
      <c r="O7" s="16"/>
      <c r="P7" s="16"/>
      <c r="Q7" s="16"/>
      <c r="R7" s="16"/>
      <c r="S7" s="16"/>
      <c r="T7" s="16"/>
      <c r="V7" s="77"/>
      <c r="X7" s="16"/>
      <c r="Z7" s="77"/>
    </row>
    <row r="8" ht="12.75" customHeight="1">
      <c r="H8" s="16"/>
      <c r="I8" s="16"/>
      <c r="J8" s="18"/>
      <c r="K8" s="16"/>
      <c r="L8" s="16"/>
      <c r="M8" s="16"/>
      <c r="N8" s="16"/>
      <c r="O8" s="16"/>
      <c r="P8" s="16"/>
      <c r="Q8" s="16"/>
      <c r="R8" s="16"/>
      <c r="S8" s="16"/>
      <c r="T8" s="16"/>
      <c r="V8" s="77"/>
      <c r="X8" s="16"/>
      <c r="Z8" s="77"/>
    </row>
    <row r="9" ht="12.75" customHeight="1">
      <c r="H9" s="18"/>
      <c r="I9" s="16"/>
      <c r="J9" s="77"/>
      <c r="K9" s="16"/>
      <c r="L9" s="16"/>
      <c r="M9" s="16"/>
      <c r="N9" s="16"/>
      <c r="O9" s="16"/>
      <c r="P9" s="16"/>
      <c r="Q9" s="16"/>
      <c r="R9" s="16"/>
      <c r="S9" s="16"/>
      <c r="T9" s="16"/>
      <c r="V9" s="77"/>
      <c r="X9" s="16"/>
      <c r="Z9" s="77"/>
    </row>
    <row r="10" ht="12.75" customHeight="1">
      <c r="H10" s="16"/>
      <c r="I10" s="16"/>
      <c r="J10" s="18"/>
      <c r="K10" s="16"/>
      <c r="L10" s="16"/>
      <c r="M10" s="16"/>
      <c r="N10" s="16"/>
      <c r="O10" s="16"/>
      <c r="P10" s="16"/>
      <c r="Q10" s="16"/>
      <c r="R10" s="16"/>
      <c r="S10" s="16"/>
      <c r="T10" s="16"/>
      <c r="V10" s="77"/>
      <c r="X10" s="16"/>
      <c r="Z10" s="77"/>
    </row>
    <row r="11" ht="12.75" customHeight="1">
      <c r="H11" s="18"/>
      <c r="I11" s="16"/>
      <c r="J11" s="77"/>
      <c r="K11" s="39"/>
      <c r="L11" s="77"/>
      <c r="M11" s="20"/>
      <c r="N11" s="20"/>
      <c r="O11" s="20"/>
      <c r="P11" s="20"/>
      <c r="Q11" s="16"/>
      <c r="T11" s="16"/>
      <c r="U11" s="18"/>
      <c r="V11" s="77"/>
      <c r="W11" s="16"/>
      <c r="Z11" s="77"/>
    </row>
    <row r="12" ht="12.75" customHeight="1">
      <c r="H12" s="16"/>
      <c r="I12" s="16"/>
      <c r="J12" s="20"/>
      <c r="K12" s="20"/>
      <c r="L12" s="77"/>
      <c r="M12" s="20"/>
      <c r="N12" s="20"/>
      <c r="O12" s="20"/>
      <c r="P12" s="20"/>
      <c r="Q12" s="16"/>
      <c r="T12" s="16"/>
      <c r="V12" s="77"/>
      <c r="W12" s="16"/>
      <c r="Z12" s="77"/>
    </row>
    <row r="13" ht="12.75" customHeight="1">
      <c r="H13" s="18"/>
      <c r="I13" s="16"/>
      <c r="J13" s="77"/>
      <c r="K13" s="77"/>
      <c r="L13" s="77"/>
      <c r="M13" s="20"/>
      <c r="N13" s="20"/>
      <c r="O13" s="20"/>
      <c r="P13" s="20"/>
      <c r="Q13" s="16"/>
      <c r="U13" s="18"/>
      <c r="V13" s="77"/>
      <c r="Z13" s="77"/>
    </row>
    <row r="14" ht="12.75" customHeight="1">
      <c r="H14" s="16"/>
      <c r="I14" s="16"/>
      <c r="J14" s="18"/>
      <c r="K14" s="77"/>
      <c r="L14" s="77"/>
      <c r="M14" s="20"/>
      <c r="N14" s="20"/>
      <c r="O14" s="20"/>
      <c r="P14" s="20"/>
      <c r="Q14" s="16"/>
      <c r="U14" s="16"/>
      <c r="V14" s="77"/>
      <c r="W14" s="18"/>
      <c r="Z14" s="77"/>
    </row>
    <row r="15" ht="12.75" customHeight="1">
      <c r="H15" s="18"/>
      <c r="I15" s="16"/>
      <c r="J15" s="77"/>
      <c r="K15" s="77"/>
      <c r="L15" s="77"/>
      <c r="M15" s="20"/>
      <c r="N15" s="20"/>
      <c r="O15" s="20"/>
      <c r="P15" s="20"/>
      <c r="Q15" s="16"/>
      <c r="T15" s="16"/>
      <c r="U15" s="18"/>
      <c r="V15" s="77"/>
      <c r="Z15" s="77"/>
    </row>
    <row r="16" ht="12.75" customHeight="1"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77"/>
    </row>
    <row r="17" ht="12.75" customHeight="1">
      <c r="H17" s="155"/>
      <c r="I17" s="156"/>
      <c r="J17" s="157"/>
      <c r="K17" s="159"/>
      <c r="L17" s="156"/>
      <c r="M17" s="157"/>
      <c r="N17" s="163"/>
      <c r="O17" s="62"/>
      <c r="P17" s="63"/>
      <c r="Q17" s="163"/>
      <c r="R17" s="62"/>
      <c r="S17" s="62"/>
      <c r="T17" s="63"/>
      <c r="U17" s="165"/>
      <c r="V17" s="165"/>
      <c r="W17" s="165"/>
      <c r="X17" s="165"/>
      <c r="Y17" s="165"/>
      <c r="Z17" s="165"/>
    </row>
    <row r="18" ht="12.75" customHeight="1">
      <c r="H18" s="166"/>
      <c r="I18" s="167"/>
      <c r="J18" s="168"/>
      <c r="K18" s="169"/>
      <c r="L18" s="170"/>
      <c r="M18" s="171"/>
      <c r="N18" s="172"/>
      <c r="O18" s="173"/>
      <c r="P18" s="174"/>
      <c r="Q18" s="176"/>
      <c r="R18" s="178"/>
      <c r="S18" s="180"/>
      <c r="T18" s="157"/>
      <c r="U18" s="182"/>
      <c r="V18" s="184"/>
      <c r="W18" s="185"/>
      <c r="X18" s="185"/>
      <c r="Y18" s="172"/>
      <c r="Z18" s="185"/>
    </row>
    <row r="19" ht="12.75" customHeight="1">
      <c r="H19" s="186"/>
      <c r="I19" s="186"/>
      <c r="J19" s="186"/>
      <c r="K19" s="186"/>
      <c r="L19" s="186"/>
      <c r="M19" s="186"/>
      <c r="N19" s="186"/>
      <c r="O19" s="186"/>
      <c r="P19" s="186"/>
      <c r="Q19" s="186"/>
      <c r="R19" s="186"/>
      <c r="S19" s="186"/>
      <c r="T19" s="186"/>
      <c r="U19" s="186"/>
      <c r="V19" s="186"/>
      <c r="W19" s="186"/>
      <c r="X19" s="186"/>
      <c r="Y19" s="186"/>
      <c r="Z19" s="186"/>
    </row>
    <row r="20" ht="12.75" customHeight="1">
      <c r="H20" s="99"/>
      <c r="I20" s="100"/>
      <c r="J20" s="100"/>
      <c r="K20" s="99"/>
      <c r="L20" s="100"/>
      <c r="M20" s="100"/>
      <c r="N20" s="102"/>
      <c r="O20" s="187"/>
      <c r="P20" s="187"/>
      <c r="Q20" s="100"/>
      <c r="R20" s="102"/>
      <c r="S20" s="187"/>
      <c r="T20" s="187"/>
      <c r="U20" s="100"/>
      <c r="V20" s="102"/>
      <c r="W20" s="187"/>
      <c r="X20" s="187"/>
      <c r="Y20" s="102"/>
      <c r="Z20" s="188"/>
    </row>
    <row r="21" ht="12.75" customHeight="1">
      <c r="H21" s="99"/>
      <c r="I21" s="100"/>
      <c r="J21" s="100"/>
      <c r="K21" s="99"/>
      <c r="L21" s="100"/>
      <c r="M21" s="100"/>
      <c r="N21" s="189"/>
      <c r="O21" s="187"/>
      <c r="P21" s="187"/>
      <c r="Q21" s="100"/>
      <c r="R21" s="102"/>
      <c r="S21" s="187"/>
      <c r="T21" s="187"/>
      <c r="U21" s="100"/>
      <c r="V21" s="102"/>
      <c r="W21" s="187"/>
      <c r="X21" s="187"/>
      <c r="Y21" s="189"/>
      <c r="Z21" s="188"/>
    </row>
    <row r="22" ht="12.75" customHeight="1"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87"/>
      <c r="T22" s="187"/>
      <c r="U22" s="102"/>
      <c r="V22" s="102"/>
      <c r="W22" s="187"/>
      <c r="X22" s="187"/>
      <c r="Y22" s="102"/>
      <c r="Z22" s="191"/>
    </row>
    <row r="23" ht="12.75" customHeight="1"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87"/>
      <c r="T23" s="187"/>
      <c r="U23" s="102"/>
      <c r="V23" s="102"/>
      <c r="W23" s="187"/>
      <c r="X23" s="187"/>
      <c r="Y23" s="102"/>
      <c r="Z23" s="191"/>
    </row>
    <row r="24" ht="12.75" customHeight="1"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87"/>
      <c r="T24" s="187"/>
      <c r="U24" s="102"/>
      <c r="V24" s="102"/>
      <c r="W24" s="187"/>
      <c r="X24" s="187"/>
      <c r="Y24" s="102"/>
      <c r="Z24" s="191"/>
    </row>
    <row r="25" ht="12.75" customHeight="1"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87"/>
      <c r="T25" s="187"/>
      <c r="U25" s="102"/>
      <c r="V25" s="102"/>
      <c r="W25" s="187"/>
      <c r="X25" s="187"/>
      <c r="Y25" s="102"/>
      <c r="Z25" s="191"/>
    </row>
    <row r="26" ht="12.75" customHeight="1"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87"/>
      <c r="T26" s="187"/>
      <c r="U26" s="102"/>
      <c r="V26" s="102"/>
      <c r="W26" s="187"/>
      <c r="X26" s="187"/>
      <c r="Y26" s="102"/>
      <c r="Z26" s="191"/>
    </row>
    <row r="27" ht="12.75" customHeight="1"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87"/>
      <c r="T27" s="187"/>
      <c r="U27" s="102"/>
      <c r="V27" s="102"/>
      <c r="W27" s="187"/>
      <c r="X27" s="187"/>
      <c r="Y27" s="102"/>
      <c r="Z27" s="191"/>
    </row>
    <row r="28" ht="12.75" customHeight="1"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87"/>
      <c r="T28" s="187"/>
      <c r="U28" s="102"/>
      <c r="V28" s="102"/>
      <c r="W28" s="187"/>
      <c r="X28" s="187"/>
      <c r="Y28" s="102"/>
      <c r="Z28" s="191"/>
    </row>
    <row r="29" ht="12.75" customHeight="1"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87"/>
      <c r="T29" s="187"/>
      <c r="U29" s="102"/>
      <c r="V29" s="102"/>
      <c r="W29" s="187"/>
      <c r="X29" s="187"/>
      <c r="Y29" s="102"/>
      <c r="Z29" s="191"/>
    </row>
    <row r="30" ht="12.75" customHeight="1">
      <c r="H30" s="163"/>
      <c r="I30" s="62"/>
      <c r="J30" s="62"/>
      <c r="K30" s="62"/>
      <c r="L30" s="62"/>
      <c r="M30" s="63"/>
      <c r="N30" s="129"/>
      <c r="O30" s="129"/>
      <c r="P30" s="129"/>
      <c r="Q30" s="129"/>
      <c r="R30" s="129"/>
      <c r="S30" s="197"/>
      <c r="T30" s="197"/>
      <c r="U30" s="129"/>
      <c r="V30" s="129"/>
      <c r="W30" s="197"/>
      <c r="X30" s="197"/>
      <c r="Y30" s="129"/>
      <c r="Z30" s="198"/>
    </row>
    <row r="31" ht="12.75" customHeight="1"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77"/>
    </row>
    <row r="32" ht="12.75" customHeight="1">
      <c r="H32" s="199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120"/>
      <c r="V32" s="120"/>
      <c r="W32" s="120"/>
      <c r="X32" s="120"/>
      <c r="Y32" s="120"/>
      <c r="Z32" s="77"/>
    </row>
    <row r="33" ht="12.75" customHeight="1">
      <c r="H33" s="130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</row>
    <row r="34" ht="12.75" customHeight="1">
      <c r="H34" s="200"/>
      <c r="I34" s="201"/>
      <c r="J34" s="201"/>
      <c r="K34" s="202"/>
      <c r="L34" s="91"/>
      <c r="M34" s="91"/>
      <c r="N34" s="91"/>
      <c r="O34" s="77"/>
      <c r="P34" s="77"/>
      <c r="Q34" s="77"/>
      <c r="U34" s="203"/>
      <c r="V34" s="201"/>
      <c r="W34" s="201"/>
      <c r="X34" s="201"/>
      <c r="Y34" s="201"/>
      <c r="Z34" s="204"/>
    </row>
    <row r="35" ht="12.75" customHeight="1">
      <c r="H35" s="205"/>
      <c r="I35" s="206"/>
      <c r="J35" s="207"/>
      <c r="K35" s="208"/>
      <c r="L35" s="120"/>
      <c r="M35" s="120"/>
      <c r="N35" s="91"/>
      <c r="O35" s="77"/>
      <c r="P35" s="77"/>
      <c r="Q35" s="77"/>
      <c r="U35" s="205"/>
      <c r="V35" s="206"/>
      <c r="W35" s="209"/>
      <c r="X35" s="209"/>
      <c r="Y35" s="209"/>
      <c r="Z35" s="210"/>
    </row>
    <row r="36" ht="12.75" customHeight="1">
      <c r="H36" s="211"/>
      <c r="I36" s="212"/>
      <c r="J36" s="207"/>
      <c r="K36" s="208"/>
      <c r="L36" s="120"/>
      <c r="M36" s="120"/>
      <c r="N36" s="91"/>
      <c r="O36" s="77"/>
      <c r="P36" s="77"/>
      <c r="Q36" s="77"/>
      <c r="U36" s="211"/>
      <c r="V36" s="212"/>
      <c r="W36" s="207"/>
      <c r="X36" s="207"/>
      <c r="Y36" s="209"/>
      <c r="Z36" s="210"/>
    </row>
    <row r="37" ht="12.75" customHeight="1">
      <c r="H37" s="211"/>
      <c r="I37" s="212"/>
      <c r="J37" s="207"/>
      <c r="K37" s="208"/>
      <c r="L37" s="120"/>
      <c r="M37" s="120"/>
      <c r="N37" s="91"/>
      <c r="O37" s="77"/>
      <c r="P37" s="77"/>
      <c r="Q37" s="77"/>
      <c r="U37" s="211"/>
      <c r="V37" s="212"/>
      <c r="W37" s="207"/>
      <c r="X37" s="209"/>
      <c r="Y37" s="209"/>
      <c r="Z37" s="210"/>
    </row>
    <row r="38" ht="12.75" customHeight="1">
      <c r="H38" s="211"/>
      <c r="I38" s="212"/>
      <c r="J38" s="207"/>
      <c r="K38" s="208"/>
      <c r="L38" s="120"/>
      <c r="M38" s="120"/>
      <c r="N38" s="91"/>
      <c r="O38" s="77"/>
      <c r="P38" s="77"/>
      <c r="Q38" s="77"/>
      <c r="U38" s="211"/>
      <c r="V38" s="212"/>
      <c r="W38" s="207"/>
      <c r="X38" s="209"/>
      <c r="Y38" s="209"/>
      <c r="Z38" s="210"/>
    </row>
    <row r="39" ht="12.75" customHeight="1">
      <c r="H39" s="211"/>
      <c r="I39" s="212"/>
      <c r="J39" s="207"/>
      <c r="K39" s="208"/>
      <c r="L39" s="120"/>
      <c r="M39" s="120"/>
      <c r="N39" s="91"/>
      <c r="O39" s="77"/>
      <c r="P39" s="77"/>
      <c r="Q39" s="77"/>
      <c r="U39" s="211"/>
      <c r="V39" s="212"/>
      <c r="W39" s="207"/>
      <c r="X39" s="209"/>
      <c r="Y39" s="209"/>
      <c r="Z39" s="210"/>
    </row>
    <row r="40" ht="12.75" customHeight="1">
      <c r="H40" s="211"/>
      <c r="I40" s="212"/>
      <c r="J40" s="207"/>
      <c r="K40" s="208"/>
      <c r="L40" s="120"/>
      <c r="M40" s="120"/>
      <c r="N40" s="91"/>
      <c r="O40" s="77"/>
      <c r="P40" s="77"/>
      <c r="Q40" s="77"/>
      <c r="U40" s="211"/>
      <c r="V40" s="207"/>
      <c r="W40" s="209"/>
      <c r="X40" s="209"/>
      <c r="Y40" s="209"/>
      <c r="Z40" s="210"/>
    </row>
    <row r="41" ht="12.75" customHeight="1">
      <c r="H41" s="211"/>
      <c r="I41" s="212"/>
      <c r="J41" s="207"/>
      <c r="K41" s="214"/>
      <c r="L41" s="91"/>
      <c r="M41" s="91"/>
      <c r="N41" s="91"/>
      <c r="O41" s="77"/>
      <c r="P41" s="77"/>
      <c r="Q41" s="77"/>
      <c r="U41" s="205"/>
      <c r="V41" s="206"/>
      <c r="W41" s="209"/>
      <c r="X41" s="209"/>
      <c r="Y41" s="209"/>
      <c r="Z41" s="210"/>
    </row>
    <row r="42" ht="12.75" customHeight="1">
      <c r="H42" s="211"/>
      <c r="I42" s="212"/>
      <c r="J42" s="207"/>
      <c r="K42" s="214"/>
      <c r="L42" s="91"/>
      <c r="M42" s="91"/>
      <c r="N42" s="91"/>
      <c r="O42" s="77"/>
      <c r="P42" s="77"/>
      <c r="Q42" s="77"/>
      <c r="U42" s="211"/>
      <c r="V42" s="212"/>
      <c r="W42" s="207"/>
      <c r="X42" s="209"/>
      <c r="Y42" s="209"/>
      <c r="Z42" s="210"/>
    </row>
    <row r="43" ht="12.75" customHeight="1">
      <c r="H43" s="211"/>
      <c r="I43" s="212"/>
      <c r="J43" s="207"/>
      <c r="K43" s="214"/>
      <c r="L43" s="91"/>
      <c r="M43" s="91"/>
      <c r="N43" s="91"/>
      <c r="O43" s="77"/>
      <c r="P43" s="77"/>
      <c r="Q43" s="77"/>
      <c r="U43" s="211"/>
      <c r="V43" s="212"/>
      <c r="W43" s="207"/>
      <c r="X43" s="209"/>
      <c r="Y43" s="209"/>
      <c r="Z43" s="214"/>
    </row>
    <row r="44" ht="12.75" customHeight="1">
      <c r="H44" s="218"/>
      <c r="I44" s="220"/>
      <c r="J44" s="220"/>
      <c r="K44" s="222"/>
      <c r="L44" s="91"/>
      <c r="M44" s="91"/>
      <c r="N44" s="91"/>
      <c r="O44" s="77"/>
      <c r="P44" s="77"/>
      <c r="Q44" s="77"/>
      <c r="U44" s="218"/>
      <c r="V44" s="224"/>
      <c r="W44" s="220"/>
      <c r="X44" s="220"/>
      <c r="Y44" s="220"/>
      <c r="Z44" s="226"/>
    </row>
    <row r="45" ht="12.75" customHeight="1">
      <c r="H45" s="91"/>
      <c r="I45" s="91"/>
      <c r="J45" s="91"/>
      <c r="K45" s="91"/>
      <c r="L45" s="91"/>
      <c r="M45" s="91"/>
      <c r="N45" s="91"/>
      <c r="O45" s="91"/>
      <c r="P45" s="120"/>
      <c r="Q45" s="91"/>
      <c r="R45" s="91"/>
      <c r="S45" s="91"/>
    </row>
    <row r="46" ht="12.75" customHeight="1">
      <c r="H46" s="120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</row>
    <row r="47" ht="12.75" customHeight="1">
      <c r="K47" s="77"/>
      <c r="L47" s="77"/>
      <c r="M47" s="77"/>
      <c r="N47" s="77"/>
      <c r="O47" s="77"/>
      <c r="P47" s="77"/>
    </row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K17:M17"/>
    <mergeCell ref="H30:M30"/>
    <mergeCell ref="H1:U1"/>
    <mergeCell ref="H2:U2"/>
    <mergeCell ref="H17:J17"/>
    <mergeCell ref="N17:P17"/>
    <mergeCell ref="Q17:T17"/>
    <mergeCell ref="O18:P18"/>
    <mergeCell ref="S18:T18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8.75"/>
    <col customWidth="1" min="2" max="2" width="7.13"/>
    <col customWidth="1" min="3" max="3" width="10.0"/>
    <col customWidth="1" min="4" max="4" width="9.25"/>
    <col customWidth="1" min="5" max="5" width="5.25"/>
    <col customWidth="1" min="6" max="6" width="7.13"/>
    <col customWidth="1" min="7" max="7" width="9.38"/>
    <col customWidth="1" min="8" max="9" width="8.75"/>
    <col customWidth="1" min="10" max="10" width="7.75"/>
    <col customWidth="1" min="11" max="11" width="9.63"/>
    <col customWidth="1" min="12" max="13" width="8.75"/>
    <col customWidth="1" min="14" max="14" width="7.75"/>
    <col customWidth="1" min="15" max="15" width="9.63"/>
    <col customWidth="1" min="16" max="17" width="8.75"/>
    <col customWidth="1" min="18" max="18" width="10.38"/>
    <col customWidth="1" min="19" max="20" width="8.75"/>
    <col customWidth="1" min="21" max="21" width="8.25"/>
    <col customWidth="1" min="22" max="22" width="7.88"/>
    <col customWidth="1" min="23" max="23" width="6.13"/>
    <col customWidth="1" min="24" max="40" width="10.0"/>
  </cols>
  <sheetData>
    <row r="1" ht="15.75" customHeight="1">
      <c r="A1" s="7" t="s">
        <v>369</v>
      </c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</row>
    <row r="3" ht="15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</row>
    <row r="4" ht="12.75" customHeight="1">
      <c r="A4" s="120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77"/>
      <c r="T4" s="77"/>
    </row>
    <row r="5" ht="12.75" customHeight="1">
      <c r="A5" s="18" t="s">
        <v>390</v>
      </c>
      <c r="B5" s="16"/>
      <c r="C5" s="77"/>
      <c r="D5" s="20"/>
      <c r="E5" s="20"/>
      <c r="F5" s="20"/>
      <c r="G5" s="20"/>
      <c r="H5" s="20"/>
      <c r="I5" s="20"/>
      <c r="J5" s="16"/>
      <c r="K5" s="16"/>
      <c r="L5" s="16"/>
      <c r="M5" s="16"/>
      <c r="O5" s="77"/>
      <c r="Q5" s="16"/>
      <c r="S5" s="77"/>
      <c r="T5" s="77"/>
    </row>
    <row r="6" ht="12.75" customHeight="1">
      <c r="A6" s="16"/>
      <c r="B6" s="16"/>
      <c r="C6" s="20"/>
      <c r="D6" s="20"/>
      <c r="E6" s="20"/>
      <c r="F6" s="16"/>
      <c r="G6" s="16"/>
      <c r="H6" s="16"/>
      <c r="I6" s="16"/>
      <c r="J6" s="16"/>
      <c r="K6" s="16"/>
      <c r="L6" s="16"/>
      <c r="M6" s="16"/>
      <c r="O6" s="77"/>
      <c r="Q6" s="16"/>
      <c r="S6" s="77"/>
      <c r="T6" s="77"/>
    </row>
    <row r="7" ht="12.75" customHeight="1">
      <c r="A7" s="18" t="s">
        <v>395</v>
      </c>
      <c r="B7" s="16"/>
      <c r="C7" s="77"/>
      <c r="D7" s="16"/>
      <c r="E7" s="16"/>
      <c r="F7" s="16"/>
      <c r="G7" s="16"/>
      <c r="H7" s="16"/>
      <c r="I7" s="16"/>
      <c r="J7" s="16"/>
      <c r="K7" s="16"/>
      <c r="L7" s="16"/>
      <c r="M7" s="16"/>
      <c r="O7" s="77"/>
      <c r="Q7" s="16"/>
      <c r="S7" s="77"/>
      <c r="T7" s="77"/>
    </row>
    <row r="8" ht="12.75" customHeight="1">
      <c r="A8" s="16"/>
      <c r="B8" s="16"/>
      <c r="C8" s="18"/>
      <c r="D8" s="16"/>
      <c r="E8" s="16"/>
      <c r="F8" s="16"/>
      <c r="G8" s="16"/>
      <c r="H8" s="16"/>
      <c r="I8" s="16"/>
      <c r="J8" s="16"/>
      <c r="K8" s="16"/>
      <c r="L8" s="16"/>
      <c r="M8" s="16"/>
      <c r="O8" s="77"/>
      <c r="Q8" s="16"/>
      <c r="S8" s="77"/>
      <c r="T8" s="77"/>
    </row>
    <row r="9" ht="12.75" customHeight="1">
      <c r="A9" s="18" t="s">
        <v>400</v>
      </c>
      <c r="B9" s="16"/>
      <c r="C9" s="77"/>
      <c r="D9" s="16"/>
      <c r="E9" s="16"/>
      <c r="F9" s="16"/>
      <c r="G9" s="16"/>
      <c r="H9" s="16"/>
      <c r="I9" s="16"/>
      <c r="J9" s="16"/>
      <c r="K9" s="16"/>
      <c r="L9" s="16"/>
      <c r="M9" s="16"/>
      <c r="O9" s="77"/>
      <c r="Q9" s="16"/>
      <c r="S9" s="77"/>
      <c r="T9" s="77"/>
    </row>
    <row r="10" ht="12.75" customHeight="1">
      <c r="A10" s="16"/>
      <c r="B10" s="16"/>
      <c r="C10" s="18"/>
      <c r="D10" s="16"/>
      <c r="E10" s="16"/>
      <c r="F10" s="16"/>
      <c r="G10" s="16"/>
      <c r="H10" s="16"/>
      <c r="I10" s="16"/>
      <c r="J10" s="16"/>
      <c r="K10" s="16"/>
      <c r="L10" s="16"/>
      <c r="M10" s="16"/>
      <c r="O10" s="77"/>
      <c r="Q10" s="16"/>
      <c r="S10" s="77"/>
      <c r="T10" s="77"/>
    </row>
    <row r="11" ht="12.75" customHeight="1">
      <c r="A11" s="18" t="s">
        <v>407</v>
      </c>
      <c r="B11" s="16"/>
      <c r="C11" s="77"/>
      <c r="D11" s="39"/>
      <c r="E11" s="77"/>
      <c r="F11" s="20"/>
      <c r="G11" s="20"/>
      <c r="H11" s="20"/>
      <c r="I11" s="20"/>
      <c r="J11" s="16"/>
      <c r="L11" s="18" t="s">
        <v>408</v>
      </c>
      <c r="M11" s="16"/>
      <c r="O11" s="77"/>
      <c r="Q11" s="16"/>
      <c r="S11" s="77"/>
      <c r="T11" s="77"/>
    </row>
    <row r="12" ht="12.75" customHeight="1">
      <c r="A12" s="16"/>
      <c r="B12" s="16"/>
      <c r="C12" s="20"/>
      <c r="D12" s="20"/>
      <c r="E12" s="77"/>
      <c r="F12" s="20"/>
      <c r="G12" s="20"/>
      <c r="H12" s="20"/>
      <c r="I12" s="20"/>
      <c r="J12" s="16"/>
      <c r="M12" s="16"/>
      <c r="O12" s="77"/>
      <c r="Q12" s="16"/>
      <c r="S12" s="77"/>
      <c r="T12" s="77"/>
    </row>
    <row r="13" ht="12.75" customHeight="1">
      <c r="A13" s="18" t="s">
        <v>410</v>
      </c>
      <c r="B13" s="16"/>
      <c r="C13" s="77"/>
      <c r="D13" s="77"/>
      <c r="E13" s="77"/>
      <c r="F13" s="20"/>
      <c r="G13" s="20"/>
      <c r="H13" s="20"/>
      <c r="I13" s="20"/>
      <c r="J13" s="16"/>
      <c r="L13" s="215" t="s">
        <v>412</v>
      </c>
      <c r="O13" s="77"/>
      <c r="S13" s="77"/>
      <c r="T13" s="77"/>
    </row>
    <row r="14" ht="12.75" customHeight="1">
      <c r="A14" s="16"/>
      <c r="B14" s="16"/>
      <c r="C14" s="18"/>
      <c r="D14" s="77"/>
      <c r="E14" s="77"/>
      <c r="F14" s="20"/>
      <c r="G14" s="20"/>
      <c r="H14" s="20"/>
      <c r="I14" s="20"/>
      <c r="J14" s="16"/>
      <c r="L14" s="16"/>
      <c r="O14" s="77"/>
      <c r="Q14" s="18"/>
      <c r="S14" s="77"/>
      <c r="T14" s="77"/>
    </row>
    <row r="15" ht="12.75" customHeight="1">
      <c r="A15" s="18" t="s">
        <v>414</v>
      </c>
      <c r="B15" s="16"/>
      <c r="C15" s="77"/>
      <c r="D15" s="77"/>
      <c r="E15" s="77"/>
      <c r="F15" s="20"/>
      <c r="G15" s="20"/>
      <c r="H15" s="20"/>
      <c r="I15" s="20"/>
      <c r="J15" s="16"/>
      <c r="L15" s="18" t="s">
        <v>415</v>
      </c>
      <c r="M15" s="16"/>
      <c r="O15" s="77"/>
      <c r="S15" s="77"/>
      <c r="T15" s="77"/>
    </row>
    <row r="16" ht="12.75" customHeigh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20"/>
      <c r="M16" s="16"/>
      <c r="N16" s="16"/>
      <c r="O16" s="16"/>
      <c r="P16" s="16"/>
      <c r="Q16" s="16"/>
      <c r="S16" s="77"/>
      <c r="T16" s="77"/>
    </row>
    <row r="17" ht="12.75" customHeight="1">
      <c r="A17" s="120"/>
      <c r="B17" s="120"/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77"/>
      <c r="T17" s="77"/>
    </row>
    <row r="18" ht="12.75" customHeight="1">
      <c r="A18" s="61" t="s">
        <v>77</v>
      </c>
      <c r="B18" s="62"/>
      <c r="C18" s="63"/>
      <c r="D18" s="61" t="s">
        <v>93</v>
      </c>
      <c r="E18" s="62"/>
      <c r="F18" s="63"/>
      <c r="G18" s="61" t="s">
        <v>99</v>
      </c>
      <c r="H18" s="62"/>
      <c r="I18" s="63"/>
      <c r="J18" s="61" t="s">
        <v>102</v>
      </c>
      <c r="K18" s="62"/>
      <c r="L18" s="62"/>
      <c r="M18" s="63"/>
      <c r="N18" s="61" t="s">
        <v>106</v>
      </c>
      <c r="O18" s="62"/>
      <c r="P18" s="62"/>
      <c r="Q18" s="63"/>
      <c r="R18" s="61" t="s">
        <v>107</v>
      </c>
      <c r="S18" s="62"/>
      <c r="T18" s="63"/>
    </row>
    <row r="19" ht="12.75" customHeight="1">
      <c r="A19" s="85"/>
      <c r="B19" s="230"/>
      <c r="C19" s="88"/>
      <c r="D19" s="85"/>
      <c r="E19" s="230"/>
      <c r="F19" s="88"/>
      <c r="G19" s="100"/>
      <c r="H19" s="113" t="s">
        <v>424</v>
      </c>
      <c r="I19" s="234"/>
      <c r="J19" s="97"/>
      <c r="K19" s="236"/>
      <c r="L19" s="97" t="s">
        <v>424</v>
      </c>
      <c r="M19" s="237"/>
      <c r="N19" s="85"/>
      <c r="O19" s="88"/>
      <c r="P19" s="97" t="s">
        <v>424</v>
      </c>
      <c r="Q19" s="237"/>
      <c r="R19" s="100"/>
      <c r="S19" s="97" t="s">
        <v>424</v>
      </c>
      <c r="T19" s="237"/>
    </row>
    <row r="20" ht="14.25" customHeight="1">
      <c r="A20" s="81" t="s">
        <v>111</v>
      </c>
      <c r="B20" s="81" t="s">
        <v>425</v>
      </c>
      <c r="C20" s="81" t="s">
        <v>115</v>
      </c>
      <c r="D20" s="81" t="s">
        <v>111</v>
      </c>
      <c r="E20" s="81" t="s">
        <v>426</v>
      </c>
      <c r="F20" s="81" t="s">
        <v>115</v>
      </c>
      <c r="G20" s="81" t="s">
        <v>119</v>
      </c>
      <c r="H20" s="81" t="s">
        <v>427</v>
      </c>
      <c r="I20" s="81" t="s">
        <v>428</v>
      </c>
      <c r="J20" s="81" t="s">
        <v>430</v>
      </c>
      <c r="K20" s="81" t="s">
        <v>127</v>
      </c>
      <c r="L20" s="81" t="s">
        <v>427</v>
      </c>
      <c r="M20" s="81" t="s">
        <v>428</v>
      </c>
      <c r="N20" s="81" t="s">
        <v>431</v>
      </c>
      <c r="O20" s="81" t="s">
        <v>127</v>
      </c>
      <c r="P20" s="81" t="s">
        <v>427</v>
      </c>
      <c r="Q20" s="81" t="s">
        <v>428</v>
      </c>
      <c r="R20" s="81" t="s">
        <v>119</v>
      </c>
      <c r="S20" s="81" t="s">
        <v>433</v>
      </c>
      <c r="T20" s="81" t="s">
        <v>428</v>
      </c>
    </row>
    <row r="21" ht="12.75" customHeight="1">
      <c r="A21" s="99">
        <v>36986.0</v>
      </c>
      <c r="B21" s="100">
        <v>1.0</v>
      </c>
      <c r="C21" s="100" t="s">
        <v>131</v>
      </c>
      <c r="D21" s="99">
        <v>36986.0</v>
      </c>
      <c r="E21" s="100">
        <v>1.0</v>
      </c>
      <c r="F21" s="100" t="s">
        <v>135</v>
      </c>
      <c r="G21" s="102">
        <v>100.0</v>
      </c>
      <c r="H21" s="188">
        <v>30.0</v>
      </c>
      <c r="I21" s="188">
        <v>3000.0</v>
      </c>
      <c r="J21" s="100">
        <v>2.0</v>
      </c>
      <c r="K21" s="102">
        <v>20.0</v>
      </c>
      <c r="L21" s="187">
        <v>40.0</v>
      </c>
      <c r="M21" s="187">
        <v>800.0</v>
      </c>
      <c r="N21" s="100"/>
      <c r="O21" s="102"/>
      <c r="P21" s="187"/>
      <c r="Q21" s="187"/>
      <c r="R21" s="102">
        <v>120.0</v>
      </c>
      <c r="S21" s="188">
        <f>+T21/R21</f>
        <v>31.66666667</v>
      </c>
      <c r="T21" s="188">
        <v>3800.0</v>
      </c>
    </row>
    <row r="22" ht="12.75" customHeight="1">
      <c r="A22" s="99">
        <v>36986.0</v>
      </c>
      <c r="B22" s="100">
        <v>1.0</v>
      </c>
      <c r="C22" s="100" t="s">
        <v>150</v>
      </c>
      <c r="D22" s="99">
        <v>36986.0</v>
      </c>
      <c r="E22" s="100">
        <v>1.0</v>
      </c>
      <c r="F22" s="100" t="s">
        <v>153</v>
      </c>
      <c r="G22" s="102">
        <v>120.0</v>
      </c>
      <c r="H22" s="188">
        <v>31.67</v>
      </c>
      <c r="I22" s="188">
        <v>3800.0</v>
      </c>
      <c r="J22" s="100">
        <v>2.0</v>
      </c>
      <c r="K22" s="102">
        <v>80.0</v>
      </c>
      <c r="L22" s="187">
        <v>31.67</v>
      </c>
      <c r="M22" s="187">
        <v>2533.6</v>
      </c>
      <c r="N22" s="187"/>
      <c r="O22" s="102"/>
      <c r="P22" s="187"/>
      <c r="Q22" s="187"/>
      <c r="R22" s="102">
        <v>200.0</v>
      </c>
      <c r="S22" s="188">
        <f>+L22</f>
        <v>31.67</v>
      </c>
      <c r="T22" s="188">
        <f>+R22*S22</f>
        <v>6334</v>
      </c>
    </row>
    <row r="23" ht="12.75" customHeight="1">
      <c r="A23" s="102"/>
      <c r="B23" s="102"/>
      <c r="C23" s="102"/>
      <c r="D23" s="102"/>
      <c r="E23" s="102"/>
      <c r="F23" s="102"/>
      <c r="G23" s="102"/>
      <c r="H23" s="102"/>
      <c r="I23" s="102"/>
      <c r="J23" s="102"/>
      <c r="K23" s="102"/>
      <c r="L23" s="187"/>
      <c r="M23" s="187"/>
      <c r="N23" s="102"/>
      <c r="O23" s="102"/>
      <c r="P23" s="187"/>
      <c r="Q23" s="187"/>
      <c r="R23" s="102"/>
      <c r="S23" s="191"/>
      <c r="T23" s="191"/>
    </row>
    <row r="24" ht="12.75" customHeight="1">
      <c r="A24" s="102"/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87"/>
      <c r="M24" s="187"/>
      <c r="N24" s="102"/>
      <c r="O24" s="102"/>
      <c r="P24" s="187"/>
      <c r="Q24" s="187"/>
      <c r="R24" s="102"/>
      <c r="S24" s="191"/>
      <c r="T24" s="191"/>
    </row>
    <row r="25" ht="12.75" customHeight="1">
      <c r="A25" s="102"/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87"/>
      <c r="M25" s="187"/>
      <c r="N25" s="102"/>
      <c r="O25" s="102"/>
      <c r="P25" s="187"/>
      <c r="Q25" s="187"/>
      <c r="R25" s="102"/>
      <c r="S25" s="191"/>
      <c r="T25" s="191"/>
    </row>
    <row r="26" ht="12.75" customHeight="1">
      <c r="A26" s="102"/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87"/>
      <c r="M26" s="187"/>
      <c r="N26" s="102"/>
      <c r="O26" s="102"/>
      <c r="P26" s="187"/>
      <c r="Q26" s="187"/>
      <c r="R26" s="102"/>
      <c r="S26" s="191"/>
      <c r="T26" s="191"/>
    </row>
    <row r="27" ht="12.75" customHeight="1">
      <c r="A27" s="102"/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87"/>
      <c r="M27" s="187"/>
      <c r="N27" s="102"/>
      <c r="O27" s="102"/>
      <c r="P27" s="187"/>
      <c r="Q27" s="187"/>
      <c r="R27" s="102"/>
      <c r="S27" s="191"/>
      <c r="T27" s="191"/>
    </row>
    <row r="28" ht="12.75" customHeight="1">
      <c r="A28" s="102"/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87"/>
      <c r="M28" s="187"/>
      <c r="N28" s="102"/>
      <c r="O28" s="102"/>
      <c r="P28" s="187"/>
      <c r="Q28" s="187"/>
      <c r="R28" s="102"/>
      <c r="S28" s="191"/>
      <c r="T28" s="191"/>
    </row>
    <row r="29" ht="12.75" customHeight="1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87"/>
      <c r="M29" s="187"/>
      <c r="N29" s="102"/>
      <c r="O29" s="102"/>
      <c r="P29" s="187"/>
      <c r="Q29" s="187"/>
      <c r="R29" s="102"/>
      <c r="S29" s="191"/>
      <c r="T29" s="191"/>
    </row>
    <row r="30" ht="12.75" customHeight="1">
      <c r="A30" s="102"/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87"/>
      <c r="M30" s="187"/>
      <c r="N30" s="102"/>
      <c r="O30" s="102"/>
      <c r="P30" s="187"/>
      <c r="Q30" s="187"/>
      <c r="R30" s="102"/>
      <c r="S30" s="191"/>
      <c r="T30" s="191"/>
    </row>
    <row r="31" ht="12.75" customHeight="1">
      <c r="A31" s="123"/>
      <c r="B31" s="124"/>
      <c r="C31" s="124"/>
      <c r="D31" s="126" t="s">
        <v>189</v>
      </c>
      <c r="E31" s="124"/>
      <c r="F31" s="246"/>
      <c r="G31" s="246">
        <f t="shared" ref="G31:I31" si="1">+G21</f>
        <v>100</v>
      </c>
      <c r="H31" s="247">
        <f t="shared" si="1"/>
        <v>30</v>
      </c>
      <c r="I31" s="247">
        <f t="shared" si="1"/>
        <v>3000</v>
      </c>
      <c r="J31" s="129"/>
      <c r="K31" s="129">
        <f>+K21+K22</f>
        <v>100</v>
      </c>
      <c r="L31" s="197">
        <v>33.34</v>
      </c>
      <c r="M31" s="197">
        <f>+M21+M22</f>
        <v>3333.6</v>
      </c>
      <c r="N31" s="129"/>
      <c r="O31" s="129"/>
      <c r="P31" s="197"/>
      <c r="Q31" s="197"/>
      <c r="R31" s="129">
        <f t="shared" ref="R31:T31" si="2">+R22</f>
        <v>200</v>
      </c>
      <c r="S31" s="248">
        <f t="shared" si="2"/>
        <v>31.67</v>
      </c>
      <c r="T31" s="248">
        <f t="shared" si="2"/>
        <v>6334</v>
      </c>
    </row>
    <row r="32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77"/>
      <c r="T32" s="77"/>
    </row>
    <row r="33" ht="12.75" customHeight="1">
      <c r="A33" s="130" t="s">
        <v>195</v>
      </c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120"/>
      <c r="O33" s="120"/>
      <c r="P33" s="120"/>
      <c r="Q33" s="120"/>
      <c r="R33" s="120"/>
      <c r="S33" s="77"/>
      <c r="T33" s="77"/>
    </row>
    <row r="34" ht="12.75" customHeight="1">
      <c r="A34" s="130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</row>
    <row r="35" ht="12.75" customHeight="1">
      <c r="A35" s="131" t="s">
        <v>204</v>
      </c>
      <c r="B35" s="132"/>
      <c r="C35" s="132"/>
      <c r="D35" s="132"/>
      <c r="E35" s="107"/>
      <c r="F35" s="120"/>
      <c r="G35" s="120"/>
      <c r="H35" s="120"/>
      <c r="I35" s="120"/>
      <c r="J35" s="131" t="s">
        <v>205</v>
      </c>
      <c r="K35" s="133"/>
      <c r="L35" s="133"/>
      <c r="M35" s="133"/>
      <c r="N35" s="134"/>
      <c r="O35" s="91"/>
      <c r="P35" s="91"/>
      <c r="Q35" s="91"/>
      <c r="R35" s="91"/>
    </row>
    <row r="36" ht="12.75" customHeight="1">
      <c r="A36" s="119">
        <v>1.0</v>
      </c>
      <c r="B36" s="120" t="s">
        <v>209</v>
      </c>
      <c r="C36" s="120">
        <v>7.0</v>
      </c>
      <c r="D36" s="120" t="s">
        <v>210</v>
      </c>
      <c r="E36" s="112"/>
      <c r="F36" s="120"/>
      <c r="G36" s="120"/>
      <c r="H36" s="120"/>
      <c r="I36" s="120"/>
      <c r="J36" s="119" t="s">
        <v>213</v>
      </c>
      <c r="K36" s="91"/>
      <c r="L36" s="91"/>
      <c r="M36" s="91"/>
      <c r="N36" s="249"/>
      <c r="O36" s="91"/>
      <c r="P36" s="91"/>
      <c r="Q36" s="91"/>
      <c r="R36" s="91"/>
    </row>
    <row r="37" ht="12.75" customHeight="1">
      <c r="A37" s="119">
        <v>2.0</v>
      </c>
      <c r="B37" s="120" t="s">
        <v>218</v>
      </c>
      <c r="C37" s="120">
        <v>8.0</v>
      </c>
      <c r="D37" s="120" t="s">
        <v>219</v>
      </c>
      <c r="E37" s="112"/>
      <c r="F37" s="120"/>
      <c r="G37" s="120"/>
      <c r="H37" s="120"/>
      <c r="I37" s="120"/>
      <c r="J37" s="119" t="s">
        <v>220</v>
      </c>
      <c r="K37" s="91"/>
      <c r="L37" s="91"/>
      <c r="M37" s="91"/>
      <c r="N37" s="135"/>
      <c r="O37" s="91"/>
      <c r="P37" s="91"/>
      <c r="Q37" s="91"/>
      <c r="R37" s="91"/>
    </row>
    <row r="38" ht="12.75" customHeight="1">
      <c r="A38" s="119">
        <v>3.0</v>
      </c>
      <c r="B38" s="120" t="s">
        <v>221</v>
      </c>
      <c r="C38" s="120"/>
      <c r="D38" s="120"/>
      <c r="E38" s="112"/>
      <c r="F38" s="120"/>
      <c r="G38" s="120"/>
      <c r="H38" s="120"/>
      <c r="I38" s="120"/>
      <c r="J38" s="119" t="s">
        <v>222</v>
      </c>
      <c r="K38" s="91"/>
      <c r="L38" s="91"/>
      <c r="M38" s="91"/>
      <c r="N38" s="135"/>
      <c r="O38" s="91"/>
      <c r="P38" s="91"/>
      <c r="Q38" s="91"/>
      <c r="R38" s="91"/>
    </row>
    <row r="39" ht="12.75" customHeight="1">
      <c r="A39" s="119">
        <v>4.0</v>
      </c>
      <c r="B39" s="120" t="s">
        <v>223</v>
      </c>
      <c r="C39" s="120"/>
      <c r="D39" s="120"/>
      <c r="E39" s="112"/>
      <c r="F39" s="120"/>
      <c r="G39" s="120"/>
      <c r="H39" s="120"/>
      <c r="I39" s="120"/>
      <c r="J39" s="119" t="s">
        <v>225</v>
      </c>
      <c r="K39" s="91"/>
      <c r="L39" s="91"/>
      <c r="M39" s="91"/>
      <c r="N39" s="135"/>
      <c r="O39" s="91"/>
      <c r="P39" s="91"/>
      <c r="Q39" s="91"/>
      <c r="R39" s="91"/>
    </row>
    <row r="40" ht="12.75" customHeight="1">
      <c r="A40" s="119">
        <v>5.0</v>
      </c>
      <c r="B40" s="120" t="s">
        <v>226</v>
      </c>
      <c r="C40" s="91"/>
      <c r="D40" s="91"/>
      <c r="E40" s="135"/>
      <c r="F40" s="91"/>
      <c r="G40" s="91"/>
      <c r="H40" s="91"/>
      <c r="I40" s="91"/>
      <c r="J40" s="140" t="s">
        <v>227</v>
      </c>
      <c r="K40" s="91"/>
      <c r="L40" s="91"/>
      <c r="M40" s="91"/>
      <c r="N40" s="135"/>
      <c r="O40" s="91"/>
      <c r="P40" s="91"/>
      <c r="Q40" s="91"/>
      <c r="R40" s="91"/>
    </row>
    <row r="41" ht="12.75" customHeight="1">
      <c r="A41" s="119">
        <v>6.0</v>
      </c>
      <c r="B41" s="120" t="s">
        <v>228</v>
      </c>
      <c r="C41" s="91"/>
      <c r="D41" s="91"/>
      <c r="E41" s="135"/>
      <c r="F41" s="91"/>
      <c r="G41" s="91"/>
      <c r="H41" s="91"/>
      <c r="I41" s="91"/>
      <c r="J41" s="119" t="s">
        <v>229</v>
      </c>
      <c r="K41" s="91"/>
      <c r="L41" s="91"/>
      <c r="M41" s="91"/>
      <c r="N41" s="135"/>
      <c r="O41" s="91"/>
      <c r="P41" s="91"/>
      <c r="Q41" s="91"/>
      <c r="R41" s="91"/>
    </row>
    <row r="42" ht="12.75" customHeight="1">
      <c r="A42" s="143"/>
      <c r="B42" s="144"/>
      <c r="C42" s="144"/>
      <c r="D42" s="144"/>
      <c r="E42" s="145"/>
      <c r="F42" s="91"/>
      <c r="G42" s="91"/>
      <c r="H42" s="91"/>
      <c r="I42" s="91"/>
      <c r="J42" s="146" t="s">
        <v>233</v>
      </c>
      <c r="K42" s="144"/>
      <c r="L42" s="144"/>
      <c r="M42" s="144"/>
      <c r="N42" s="145"/>
      <c r="O42" s="91"/>
      <c r="P42" s="91"/>
      <c r="Q42" s="91"/>
      <c r="R42" s="91"/>
    </row>
    <row r="43" ht="12.75" customHeight="1">
      <c r="A43" s="91"/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</row>
    <row r="44" ht="12.75" customHeight="1">
      <c r="A44" s="120" t="s">
        <v>238</v>
      </c>
      <c r="B44" s="91"/>
      <c r="C44" s="91"/>
      <c r="D44" s="91"/>
      <c r="E44" s="91"/>
      <c r="F44" s="91"/>
      <c r="G44" s="77"/>
      <c r="H44" s="77"/>
      <c r="I44" s="77"/>
    </row>
    <row r="45" ht="12.75" customHeight="1">
      <c r="D45" s="77"/>
      <c r="E45" s="77"/>
      <c r="F45" s="77"/>
      <c r="G45" s="77"/>
      <c r="H45" s="77"/>
      <c r="I45" s="77"/>
    </row>
    <row r="46" ht="12.75" customHeight="1">
      <c r="D46" s="77"/>
      <c r="E46" s="77"/>
      <c r="F46" s="77"/>
      <c r="G46" s="77"/>
      <c r="H46" s="77"/>
      <c r="I46" s="77"/>
    </row>
    <row r="47" ht="12.75" customHeight="1">
      <c r="D47" s="77"/>
      <c r="E47" s="77"/>
      <c r="F47" s="77"/>
      <c r="G47" s="77"/>
      <c r="H47" s="77"/>
      <c r="I47" s="77"/>
    </row>
    <row r="48" ht="12.75" customHeight="1">
      <c r="D48" s="77"/>
      <c r="E48" s="77"/>
      <c r="F48" s="77"/>
      <c r="G48" s="77"/>
      <c r="H48" s="77"/>
      <c r="I48" s="77"/>
    </row>
    <row r="49" ht="12.75" customHeight="1">
      <c r="A49" s="77"/>
      <c r="B49" s="77"/>
      <c r="C49" s="77"/>
      <c r="D49" s="77"/>
      <c r="E49" s="77"/>
      <c r="F49" s="77"/>
      <c r="G49" s="77"/>
      <c r="H49" s="77"/>
      <c r="I49" s="77"/>
      <c r="J49" s="77"/>
      <c r="O49" s="77"/>
      <c r="S49" s="77"/>
      <c r="T49" s="77"/>
    </row>
    <row r="50" ht="12.75" customHeight="1">
      <c r="A50" s="77"/>
      <c r="B50" s="77"/>
      <c r="C50" s="77"/>
      <c r="D50" s="77"/>
      <c r="E50" s="77"/>
      <c r="F50" s="77"/>
      <c r="G50" s="77"/>
      <c r="H50" s="77"/>
      <c r="I50" s="77"/>
      <c r="J50" s="77"/>
      <c r="O50" s="77"/>
      <c r="S50" s="77"/>
      <c r="T50" s="77"/>
    </row>
    <row r="51" ht="12.75" customHeight="1">
      <c r="A51" s="77"/>
      <c r="B51" s="77"/>
      <c r="C51" s="77"/>
      <c r="D51" s="77"/>
      <c r="E51" s="77"/>
      <c r="F51" s="77"/>
      <c r="G51" s="77"/>
      <c r="H51" s="77"/>
      <c r="I51" s="77"/>
      <c r="J51" s="77"/>
      <c r="O51" s="77"/>
      <c r="S51" s="77"/>
      <c r="T51" s="77"/>
    </row>
    <row r="52" ht="12.75" customHeight="1">
      <c r="A52" s="77"/>
      <c r="B52" s="77"/>
      <c r="C52" s="77"/>
      <c r="D52" s="77"/>
      <c r="E52" s="77"/>
      <c r="F52" s="77"/>
      <c r="G52" s="77"/>
      <c r="H52" s="77"/>
      <c r="I52" s="77"/>
      <c r="J52" s="77"/>
      <c r="O52" s="77"/>
      <c r="S52" s="77"/>
      <c r="T52" s="77"/>
    </row>
    <row r="53" ht="12.75" customHeight="1">
      <c r="A53" s="77"/>
      <c r="B53" s="77"/>
      <c r="C53" s="77"/>
      <c r="D53" s="77"/>
      <c r="E53" s="77"/>
      <c r="F53" s="77"/>
      <c r="G53" s="77"/>
      <c r="H53" s="77"/>
      <c r="I53" s="77"/>
      <c r="J53" s="77"/>
      <c r="O53" s="77"/>
      <c r="S53" s="77"/>
      <c r="T53" s="77"/>
    </row>
    <row r="54" ht="12.75" customHeight="1">
      <c r="A54" s="77"/>
      <c r="B54" s="77"/>
      <c r="C54" s="77"/>
      <c r="D54" s="77"/>
      <c r="E54" s="77"/>
      <c r="F54" s="77"/>
      <c r="G54" s="77"/>
      <c r="H54" s="77"/>
      <c r="I54" s="77"/>
      <c r="J54" s="77"/>
      <c r="O54" s="77"/>
      <c r="S54" s="77"/>
      <c r="T54" s="77"/>
    </row>
    <row r="55" ht="12.75" customHeight="1">
      <c r="A55" s="77"/>
      <c r="B55" s="77"/>
      <c r="C55" s="77"/>
      <c r="D55" s="77"/>
      <c r="E55" s="77"/>
      <c r="F55" s="77"/>
      <c r="G55" s="77"/>
      <c r="H55" s="77"/>
      <c r="I55" s="77"/>
      <c r="J55" s="77"/>
      <c r="O55" s="77"/>
      <c r="S55" s="77"/>
      <c r="T55" s="77"/>
    </row>
    <row r="56" ht="12.75" customHeight="1">
      <c r="A56" s="77"/>
      <c r="B56" s="77"/>
      <c r="C56" s="77"/>
      <c r="D56" s="77"/>
      <c r="E56" s="77"/>
      <c r="F56" s="77"/>
      <c r="G56" s="77"/>
      <c r="H56" s="77"/>
      <c r="I56" s="77"/>
      <c r="J56" s="77"/>
      <c r="O56" s="77"/>
      <c r="S56" s="77"/>
      <c r="T56" s="77"/>
    </row>
    <row r="57" ht="12.75" customHeight="1">
      <c r="A57" s="77"/>
      <c r="B57" s="77"/>
      <c r="C57" s="77"/>
      <c r="D57" s="77"/>
      <c r="E57" s="77"/>
      <c r="F57" s="77"/>
      <c r="G57" s="77"/>
      <c r="H57" s="77"/>
      <c r="I57" s="77"/>
      <c r="J57" s="77"/>
      <c r="O57" s="77"/>
      <c r="S57" s="77"/>
      <c r="T57" s="77"/>
    </row>
    <row r="58" ht="12.75" customHeight="1">
      <c r="A58" s="77"/>
      <c r="B58" s="77"/>
      <c r="C58" s="77"/>
      <c r="D58" s="77"/>
      <c r="E58" s="77"/>
      <c r="F58" s="77"/>
      <c r="G58" s="77"/>
      <c r="H58" s="77"/>
      <c r="I58" s="77"/>
      <c r="J58" s="77"/>
      <c r="O58" s="77"/>
      <c r="S58" s="77"/>
      <c r="T58" s="77"/>
    </row>
    <row r="59" ht="12.75" customHeight="1">
      <c r="A59" s="77"/>
      <c r="B59" s="77"/>
      <c r="C59" s="77"/>
      <c r="D59" s="77"/>
      <c r="E59" s="77"/>
      <c r="F59" s="77"/>
      <c r="G59" s="77"/>
      <c r="H59" s="77"/>
      <c r="I59" s="77"/>
      <c r="J59" s="77"/>
      <c r="O59" s="77"/>
      <c r="S59" s="77"/>
      <c r="T59" s="77"/>
    </row>
    <row r="60" ht="12.75" customHeight="1">
      <c r="A60" s="77"/>
      <c r="B60" s="77"/>
      <c r="C60" s="77"/>
      <c r="D60" s="77"/>
      <c r="E60" s="77"/>
      <c r="F60" s="77"/>
      <c r="G60" s="77"/>
      <c r="H60" s="77"/>
      <c r="I60" s="77"/>
      <c r="J60" s="77"/>
      <c r="O60" s="77"/>
      <c r="S60" s="77"/>
      <c r="T60" s="77"/>
    </row>
    <row r="61" ht="12.75" customHeight="1">
      <c r="A61" s="77"/>
      <c r="B61" s="77"/>
      <c r="C61" s="77"/>
      <c r="D61" s="77"/>
      <c r="E61" s="77"/>
      <c r="F61" s="77"/>
      <c r="G61" s="77"/>
      <c r="H61" s="77"/>
      <c r="I61" s="77"/>
      <c r="J61" s="77"/>
      <c r="O61" s="77"/>
      <c r="S61" s="77"/>
      <c r="T61" s="77"/>
    </row>
    <row r="62" ht="12.75" customHeight="1">
      <c r="A62" s="77"/>
      <c r="B62" s="77"/>
      <c r="C62" s="77"/>
      <c r="D62" s="77"/>
      <c r="E62" s="77"/>
      <c r="F62" s="77"/>
      <c r="G62" s="77"/>
      <c r="H62" s="77"/>
      <c r="I62" s="77"/>
      <c r="J62" s="77"/>
      <c r="O62" s="77"/>
      <c r="S62" s="77"/>
      <c r="T62" s="77"/>
    </row>
    <row r="63" ht="12.75" customHeight="1">
      <c r="A63" s="77"/>
      <c r="B63" s="77"/>
      <c r="C63" s="77"/>
      <c r="D63" s="77"/>
      <c r="E63" s="77"/>
      <c r="F63" s="77"/>
      <c r="G63" s="77"/>
      <c r="H63" s="77"/>
      <c r="I63" s="77"/>
      <c r="J63" s="77"/>
      <c r="O63" s="77"/>
      <c r="S63" s="77"/>
      <c r="T63" s="77"/>
    </row>
    <row r="64" ht="12.75" customHeight="1">
      <c r="A64" s="77"/>
      <c r="B64" s="77"/>
      <c r="C64" s="77"/>
      <c r="D64" s="77"/>
      <c r="E64" s="77"/>
      <c r="F64" s="77"/>
      <c r="G64" s="77"/>
      <c r="H64" s="77"/>
      <c r="I64" s="77"/>
      <c r="J64" s="77"/>
      <c r="O64" s="77"/>
      <c r="S64" s="77"/>
      <c r="T64" s="77"/>
    </row>
    <row r="65" ht="12.75" customHeight="1">
      <c r="A65" s="77"/>
      <c r="B65" s="77"/>
      <c r="C65" s="77"/>
      <c r="D65" s="77"/>
      <c r="E65" s="77"/>
      <c r="F65" s="77"/>
      <c r="G65" s="77"/>
      <c r="H65" s="77"/>
      <c r="I65" s="77"/>
      <c r="J65" s="77"/>
      <c r="O65" s="77"/>
      <c r="S65" s="77"/>
      <c r="T65" s="77"/>
    </row>
    <row r="66" ht="12.75" customHeight="1">
      <c r="A66" s="77"/>
      <c r="B66" s="77"/>
      <c r="C66" s="77"/>
      <c r="D66" s="77"/>
      <c r="E66" s="77"/>
      <c r="F66" s="77"/>
      <c r="G66" s="77"/>
      <c r="H66" s="77"/>
      <c r="I66" s="77"/>
      <c r="J66" s="77"/>
      <c r="O66" s="77"/>
      <c r="S66" s="77"/>
      <c r="T66" s="77"/>
    </row>
    <row r="67" ht="12.75" customHeight="1">
      <c r="A67" s="77"/>
      <c r="B67" s="77"/>
      <c r="C67" s="77"/>
      <c r="D67" s="77"/>
      <c r="E67" s="77"/>
      <c r="F67" s="77"/>
      <c r="G67" s="77"/>
      <c r="H67" s="77"/>
      <c r="I67" s="77"/>
      <c r="J67" s="77"/>
      <c r="O67" s="77"/>
      <c r="S67" s="77"/>
      <c r="T67" s="77"/>
    </row>
    <row r="68" ht="12.75" customHeight="1">
      <c r="A68" s="77"/>
      <c r="B68" s="77"/>
      <c r="C68" s="77"/>
      <c r="D68" s="77"/>
      <c r="E68" s="77"/>
      <c r="F68" s="77"/>
      <c r="G68" s="77"/>
      <c r="H68" s="77"/>
      <c r="I68" s="77"/>
      <c r="J68" s="77"/>
      <c r="O68" s="77"/>
      <c r="S68" s="77"/>
      <c r="T68" s="77"/>
    </row>
    <row r="69" ht="12.75" customHeight="1">
      <c r="A69" s="77"/>
      <c r="B69" s="77"/>
      <c r="C69" s="77"/>
      <c r="D69" s="77"/>
      <c r="E69" s="77"/>
      <c r="F69" s="77"/>
      <c r="G69" s="77"/>
      <c r="H69" s="77"/>
      <c r="I69" s="77"/>
      <c r="J69" s="77"/>
      <c r="O69" s="77"/>
      <c r="S69" s="77"/>
      <c r="T69" s="77"/>
    </row>
    <row r="70" ht="12.75" customHeight="1">
      <c r="A70" s="77"/>
      <c r="B70" s="77"/>
      <c r="C70" s="77"/>
      <c r="D70" s="77"/>
      <c r="E70" s="77"/>
      <c r="F70" s="77"/>
      <c r="G70" s="77"/>
      <c r="H70" s="77"/>
      <c r="I70" s="77"/>
      <c r="J70" s="77"/>
      <c r="O70" s="77"/>
      <c r="S70" s="77"/>
      <c r="T70" s="77"/>
    </row>
    <row r="71" ht="12.75" customHeight="1">
      <c r="A71" s="77"/>
      <c r="B71" s="77"/>
      <c r="C71" s="77"/>
      <c r="D71" s="77"/>
      <c r="E71" s="77"/>
      <c r="F71" s="77"/>
      <c r="G71" s="77"/>
      <c r="H71" s="77"/>
      <c r="I71" s="77"/>
      <c r="J71" s="77"/>
      <c r="O71" s="77"/>
      <c r="S71" s="77"/>
      <c r="T71" s="77"/>
    </row>
    <row r="72" ht="12.75" customHeight="1">
      <c r="A72" s="77"/>
      <c r="B72" s="77"/>
      <c r="C72" s="77"/>
      <c r="D72" s="77"/>
      <c r="E72" s="77"/>
      <c r="F72" s="77"/>
      <c r="G72" s="77"/>
      <c r="H72" s="77"/>
      <c r="I72" s="77"/>
      <c r="J72" s="77"/>
      <c r="O72" s="77"/>
      <c r="S72" s="77"/>
      <c r="T72" s="77"/>
    </row>
    <row r="73" ht="12.75" customHeight="1">
      <c r="A73" s="77"/>
      <c r="B73" s="77"/>
      <c r="C73" s="77"/>
      <c r="D73" s="77"/>
      <c r="E73" s="77"/>
      <c r="F73" s="77"/>
      <c r="G73" s="77"/>
      <c r="H73" s="77"/>
      <c r="I73" s="77"/>
      <c r="J73" s="77"/>
      <c r="O73" s="77"/>
      <c r="S73" s="77"/>
      <c r="T73" s="77"/>
    </row>
    <row r="74" ht="12.75" customHeight="1">
      <c r="A74" s="77"/>
      <c r="B74" s="77"/>
      <c r="C74" s="77"/>
      <c r="D74" s="77"/>
      <c r="E74" s="77"/>
      <c r="F74" s="77"/>
      <c r="G74" s="77"/>
      <c r="H74" s="77"/>
      <c r="I74" s="77"/>
      <c r="J74" s="77"/>
      <c r="O74" s="77"/>
      <c r="S74" s="77"/>
      <c r="T74" s="77"/>
    </row>
    <row r="75" ht="12.75" customHeight="1">
      <c r="A75" s="77"/>
      <c r="B75" s="77"/>
      <c r="C75" s="77"/>
      <c r="D75" s="77"/>
      <c r="E75" s="77"/>
      <c r="F75" s="77"/>
      <c r="G75" s="77"/>
      <c r="H75" s="77"/>
      <c r="I75" s="77"/>
      <c r="J75" s="77"/>
      <c r="O75" s="77"/>
      <c r="S75" s="77"/>
      <c r="T75" s="77"/>
    </row>
    <row r="76" ht="12.75" customHeight="1">
      <c r="A76" s="77"/>
      <c r="B76" s="77"/>
      <c r="C76" s="77"/>
      <c r="D76" s="77"/>
      <c r="E76" s="77"/>
      <c r="F76" s="77"/>
      <c r="G76" s="77"/>
      <c r="H76" s="77"/>
      <c r="I76" s="77"/>
      <c r="J76" s="77"/>
      <c r="O76" s="77"/>
      <c r="S76" s="77"/>
      <c r="T76" s="77"/>
    </row>
    <row r="77" ht="12.75" customHeight="1">
      <c r="A77" s="77"/>
      <c r="B77" s="77"/>
      <c r="C77" s="77"/>
      <c r="D77" s="77"/>
      <c r="E77" s="77"/>
      <c r="F77" s="77"/>
      <c r="G77" s="77"/>
      <c r="H77" s="77"/>
      <c r="I77" s="77"/>
      <c r="J77" s="77"/>
      <c r="O77" s="77"/>
      <c r="S77" s="77"/>
      <c r="T77" s="77"/>
    </row>
    <row r="78" ht="12.75" customHeight="1">
      <c r="A78" s="77"/>
      <c r="B78" s="77"/>
      <c r="C78" s="77"/>
      <c r="D78" s="77"/>
      <c r="E78" s="77"/>
      <c r="F78" s="77"/>
      <c r="G78" s="77"/>
      <c r="H78" s="77"/>
      <c r="I78" s="77"/>
      <c r="J78" s="77"/>
      <c r="O78" s="77"/>
      <c r="S78" s="77"/>
      <c r="T78" s="77"/>
    </row>
    <row r="79" ht="12.75" customHeight="1">
      <c r="A79" s="77"/>
      <c r="B79" s="77"/>
      <c r="C79" s="77"/>
      <c r="D79" s="77"/>
      <c r="E79" s="77"/>
      <c r="F79" s="77"/>
      <c r="G79" s="77"/>
      <c r="H79" s="77"/>
      <c r="I79" s="77"/>
      <c r="J79" s="77"/>
      <c r="O79" s="77"/>
      <c r="S79" s="77"/>
      <c r="T79" s="77"/>
    </row>
    <row r="80" ht="12.75" customHeight="1">
      <c r="A80" s="77"/>
      <c r="B80" s="77"/>
      <c r="C80" s="77"/>
      <c r="D80" s="77"/>
      <c r="E80" s="77"/>
      <c r="F80" s="77"/>
      <c r="G80" s="77"/>
      <c r="H80" s="77"/>
      <c r="I80" s="77"/>
      <c r="J80" s="77"/>
      <c r="O80" s="77"/>
      <c r="S80" s="77"/>
      <c r="T80" s="77"/>
    </row>
    <row r="81" ht="12.75" customHeight="1">
      <c r="A81" s="77"/>
      <c r="B81" s="77"/>
      <c r="C81" s="77"/>
      <c r="D81" s="77"/>
      <c r="E81" s="77"/>
      <c r="F81" s="77"/>
      <c r="G81" s="77"/>
      <c r="H81" s="77"/>
      <c r="I81" s="77"/>
      <c r="J81" s="77"/>
      <c r="O81" s="77"/>
      <c r="S81" s="77"/>
      <c r="T81" s="77"/>
    </row>
    <row r="82" ht="12.75" customHeight="1">
      <c r="A82" s="77"/>
      <c r="B82" s="77"/>
      <c r="C82" s="77"/>
      <c r="D82" s="77"/>
      <c r="E82" s="77"/>
      <c r="F82" s="77"/>
      <c r="G82" s="77"/>
      <c r="H82" s="77"/>
      <c r="I82" s="77"/>
      <c r="J82" s="77"/>
      <c r="O82" s="77"/>
      <c r="S82" s="77"/>
      <c r="T82" s="77"/>
    </row>
    <row r="83" ht="12.75" customHeight="1">
      <c r="A83" s="77"/>
      <c r="B83" s="77"/>
      <c r="C83" s="77"/>
      <c r="D83" s="77"/>
      <c r="E83" s="77"/>
      <c r="F83" s="77"/>
      <c r="G83" s="77"/>
      <c r="H83" s="77"/>
      <c r="I83" s="77"/>
      <c r="J83" s="77"/>
      <c r="O83" s="77"/>
      <c r="S83" s="77"/>
      <c r="T83" s="77"/>
    </row>
    <row r="84" ht="12.75" customHeight="1">
      <c r="A84" s="77"/>
      <c r="B84" s="77"/>
      <c r="C84" s="77"/>
      <c r="D84" s="77"/>
      <c r="E84" s="77"/>
      <c r="F84" s="77"/>
      <c r="G84" s="77"/>
      <c r="H84" s="77"/>
      <c r="I84" s="77"/>
      <c r="J84" s="77"/>
      <c r="O84" s="77"/>
      <c r="S84" s="77"/>
      <c r="T84" s="77"/>
    </row>
    <row r="85" ht="12.75" customHeight="1">
      <c r="A85" s="77"/>
      <c r="B85" s="77"/>
      <c r="C85" s="77"/>
      <c r="D85" s="77"/>
      <c r="E85" s="77"/>
      <c r="F85" s="77"/>
      <c r="G85" s="77"/>
      <c r="H85" s="77"/>
      <c r="I85" s="77"/>
      <c r="J85" s="77"/>
      <c r="O85" s="77"/>
      <c r="S85" s="77"/>
      <c r="T85" s="77"/>
    </row>
    <row r="86" ht="12.75" customHeight="1">
      <c r="A86" s="77"/>
      <c r="B86" s="77"/>
      <c r="C86" s="77"/>
      <c r="D86" s="77"/>
      <c r="E86" s="77"/>
      <c r="F86" s="77"/>
      <c r="G86" s="77"/>
      <c r="H86" s="77"/>
      <c r="I86" s="77"/>
      <c r="J86" s="77"/>
      <c r="O86" s="77"/>
      <c r="S86" s="77"/>
      <c r="T86" s="77"/>
    </row>
    <row r="87" ht="12.75" customHeight="1">
      <c r="A87" s="77"/>
      <c r="B87" s="77"/>
      <c r="C87" s="77"/>
      <c r="D87" s="77"/>
      <c r="E87" s="77"/>
      <c r="F87" s="77"/>
      <c r="G87" s="77"/>
      <c r="H87" s="77"/>
      <c r="I87" s="77"/>
      <c r="J87" s="77"/>
      <c r="O87" s="77"/>
      <c r="S87" s="77"/>
      <c r="T87" s="77"/>
    </row>
    <row r="88" ht="12.75" customHeight="1">
      <c r="A88" s="77"/>
      <c r="B88" s="77"/>
      <c r="C88" s="77"/>
      <c r="D88" s="77"/>
      <c r="E88" s="77"/>
      <c r="F88" s="77"/>
      <c r="G88" s="77"/>
      <c r="H88" s="77"/>
      <c r="I88" s="77"/>
      <c r="J88" s="77"/>
      <c r="O88" s="77"/>
      <c r="S88" s="77"/>
      <c r="T88" s="77"/>
    </row>
    <row r="89" ht="12.75" customHeight="1">
      <c r="A89" s="77"/>
      <c r="B89" s="77"/>
      <c r="C89" s="77"/>
      <c r="D89" s="77"/>
      <c r="E89" s="77"/>
      <c r="F89" s="77"/>
      <c r="G89" s="77"/>
      <c r="H89" s="77"/>
      <c r="I89" s="77"/>
      <c r="J89" s="77"/>
      <c r="O89" s="77"/>
      <c r="S89" s="77"/>
      <c r="T89" s="77"/>
    </row>
    <row r="90" ht="12.75" customHeight="1">
      <c r="A90" s="77"/>
      <c r="B90" s="77"/>
      <c r="C90" s="77"/>
      <c r="D90" s="77"/>
      <c r="E90" s="77"/>
      <c r="F90" s="77"/>
      <c r="G90" s="77"/>
      <c r="H90" s="77"/>
      <c r="I90" s="77"/>
      <c r="J90" s="77"/>
      <c r="O90" s="77"/>
      <c r="S90" s="77"/>
      <c r="T90" s="77"/>
    </row>
    <row r="91" ht="12.75" customHeight="1">
      <c r="A91" s="77"/>
      <c r="B91" s="77"/>
      <c r="C91" s="77"/>
      <c r="D91" s="77"/>
      <c r="E91" s="77"/>
      <c r="F91" s="77"/>
      <c r="G91" s="77"/>
      <c r="H91" s="77"/>
      <c r="I91" s="77"/>
      <c r="J91" s="77"/>
      <c r="O91" s="77"/>
      <c r="S91" s="77"/>
      <c r="T91" s="77"/>
    </row>
    <row r="92" ht="12.75" customHeight="1">
      <c r="A92" s="77"/>
      <c r="B92" s="77"/>
      <c r="C92" s="77"/>
      <c r="D92" s="77"/>
      <c r="E92" s="77"/>
      <c r="F92" s="77"/>
      <c r="G92" s="77"/>
      <c r="H92" s="77"/>
      <c r="I92" s="77"/>
      <c r="J92" s="77"/>
      <c r="O92" s="77"/>
      <c r="S92" s="77"/>
      <c r="T92" s="77"/>
    </row>
    <row r="93" ht="12.75" customHeight="1">
      <c r="A93" s="77"/>
      <c r="B93" s="77"/>
      <c r="C93" s="77"/>
      <c r="D93" s="77"/>
      <c r="E93" s="77"/>
      <c r="F93" s="77"/>
      <c r="G93" s="77"/>
      <c r="H93" s="77"/>
      <c r="I93" s="77"/>
      <c r="J93" s="77"/>
      <c r="O93" s="77"/>
      <c r="S93" s="77"/>
      <c r="T93" s="77"/>
    </row>
    <row r="94" ht="12.75" customHeight="1">
      <c r="A94" s="77"/>
      <c r="B94" s="77"/>
      <c r="C94" s="77"/>
      <c r="D94" s="77"/>
      <c r="E94" s="77"/>
      <c r="F94" s="77"/>
      <c r="G94" s="77"/>
      <c r="H94" s="77"/>
      <c r="I94" s="77"/>
      <c r="J94" s="77"/>
      <c r="O94" s="77"/>
      <c r="S94" s="77"/>
      <c r="T94" s="77"/>
    </row>
    <row r="95" ht="12.75" customHeight="1">
      <c r="A95" s="77"/>
      <c r="B95" s="77"/>
      <c r="C95" s="77"/>
      <c r="D95" s="77"/>
      <c r="E95" s="77"/>
      <c r="F95" s="77"/>
      <c r="G95" s="77"/>
      <c r="H95" s="77"/>
      <c r="I95" s="77"/>
      <c r="J95" s="77"/>
      <c r="O95" s="77"/>
      <c r="S95" s="77"/>
      <c r="T95" s="77"/>
    </row>
    <row r="96" ht="12.75" customHeight="1">
      <c r="A96" s="77"/>
      <c r="B96" s="77"/>
      <c r="C96" s="77"/>
      <c r="D96" s="77"/>
      <c r="E96" s="77"/>
      <c r="F96" s="77"/>
      <c r="G96" s="77"/>
      <c r="H96" s="77"/>
      <c r="I96" s="77"/>
      <c r="J96" s="77"/>
      <c r="O96" s="77"/>
      <c r="S96" s="77"/>
      <c r="T96" s="77"/>
    </row>
    <row r="97" ht="12.75" customHeight="1">
      <c r="A97" s="77"/>
      <c r="B97" s="77"/>
      <c r="C97" s="77"/>
      <c r="D97" s="77"/>
      <c r="E97" s="77"/>
      <c r="F97" s="77"/>
      <c r="G97" s="77"/>
      <c r="H97" s="77"/>
      <c r="I97" s="77"/>
      <c r="J97" s="77"/>
      <c r="O97" s="77"/>
      <c r="S97" s="77"/>
      <c r="T97" s="77"/>
    </row>
    <row r="98" ht="12.75" customHeight="1">
      <c r="A98" s="77"/>
      <c r="B98" s="77"/>
      <c r="C98" s="77"/>
      <c r="D98" s="77"/>
      <c r="E98" s="77"/>
      <c r="F98" s="77"/>
      <c r="G98" s="77"/>
      <c r="H98" s="77"/>
      <c r="I98" s="77"/>
      <c r="J98" s="77"/>
      <c r="O98" s="77"/>
      <c r="S98" s="77"/>
      <c r="T98" s="77"/>
    </row>
    <row r="99" ht="12.75" customHeight="1">
      <c r="A99" s="77"/>
      <c r="B99" s="77"/>
      <c r="C99" s="77"/>
      <c r="D99" s="77"/>
      <c r="E99" s="77"/>
      <c r="F99" s="77"/>
      <c r="G99" s="77"/>
      <c r="H99" s="77"/>
      <c r="I99" s="77"/>
      <c r="J99" s="77"/>
      <c r="O99" s="77"/>
      <c r="S99" s="77"/>
      <c r="T99" s="77"/>
    </row>
    <row r="100" ht="12.75" customHeight="1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O100" s="77"/>
      <c r="S100" s="77"/>
      <c r="T100" s="77"/>
    </row>
    <row r="101" ht="12.75" customHeight="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O101" s="77"/>
      <c r="S101" s="77"/>
      <c r="T101" s="77"/>
    </row>
    <row r="102" ht="12.75" customHeight="1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O102" s="77"/>
      <c r="S102" s="77"/>
      <c r="T102" s="77"/>
    </row>
    <row r="103" ht="12.75" customHeight="1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O103" s="77"/>
      <c r="S103" s="77"/>
      <c r="T103" s="77"/>
    </row>
    <row r="104" ht="12.75" customHeight="1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O104" s="77"/>
      <c r="S104" s="77"/>
      <c r="T104" s="77"/>
    </row>
    <row r="105" ht="12.75" customHeight="1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O105" s="77"/>
      <c r="S105" s="77"/>
      <c r="T105" s="77"/>
    </row>
    <row r="106" ht="12.75" customHeight="1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O106" s="77"/>
      <c r="S106" s="77"/>
      <c r="T106" s="77"/>
    </row>
    <row r="107" ht="12.75" customHeight="1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O107" s="77"/>
      <c r="S107" s="77"/>
      <c r="T107" s="77"/>
    </row>
    <row r="108" ht="12.75" customHeight="1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O108" s="77"/>
      <c r="S108" s="77"/>
      <c r="T108" s="77"/>
    </row>
    <row r="109" ht="12.75" customHeight="1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O109" s="77"/>
      <c r="S109" s="77"/>
      <c r="T109" s="77"/>
    </row>
    <row r="110" ht="12.75" customHeight="1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O110" s="77"/>
      <c r="S110" s="77"/>
      <c r="T110" s="77"/>
    </row>
    <row r="111" ht="12.75" customHeight="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O111" s="77"/>
      <c r="S111" s="77"/>
      <c r="T111" s="77"/>
    </row>
    <row r="112" ht="12.75" customHeight="1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O112" s="77"/>
      <c r="S112" s="77"/>
      <c r="T112" s="77"/>
    </row>
    <row r="113" ht="12.75" customHeight="1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O113" s="77"/>
      <c r="S113" s="77"/>
      <c r="T113" s="77"/>
    </row>
    <row r="114" ht="12.75" customHeight="1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O114" s="77"/>
      <c r="S114" s="77"/>
      <c r="T114" s="77"/>
    </row>
    <row r="115" ht="12.75" customHeight="1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O115" s="77"/>
      <c r="S115" s="77"/>
      <c r="T115" s="77"/>
    </row>
    <row r="116" ht="12.75" customHeight="1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O116" s="77"/>
      <c r="S116" s="77"/>
      <c r="T116" s="77"/>
    </row>
    <row r="117" ht="12.75" customHeight="1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O117" s="77"/>
      <c r="S117" s="77"/>
      <c r="T117" s="77"/>
    </row>
    <row r="118" ht="12.75" customHeight="1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O118" s="77"/>
      <c r="S118" s="77"/>
      <c r="T118" s="77"/>
    </row>
    <row r="119" ht="12.75" customHeight="1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O119" s="77"/>
      <c r="S119" s="77"/>
      <c r="T119" s="77"/>
    </row>
    <row r="120" ht="12.75" customHeight="1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O120" s="77"/>
      <c r="S120" s="77"/>
      <c r="T120" s="77"/>
    </row>
    <row r="121" ht="12.75" customHeight="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O121" s="77"/>
      <c r="S121" s="77"/>
      <c r="T121" s="77"/>
    </row>
    <row r="122" ht="12.75" customHeight="1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O122" s="77"/>
      <c r="S122" s="77"/>
      <c r="T122" s="77"/>
    </row>
    <row r="123" ht="12.75" customHeight="1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O123" s="77"/>
      <c r="S123" s="77"/>
      <c r="T123" s="77"/>
    </row>
    <row r="124" ht="12.75" customHeight="1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O124" s="77"/>
      <c r="S124" s="77"/>
      <c r="T124" s="77"/>
    </row>
    <row r="125" ht="12.75" customHeight="1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O125" s="77"/>
      <c r="S125" s="77"/>
      <c r="T125" s="77"/>
    </row>
    <row r="126" ht="12.75" customHeight="1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O126" s="77"/>
      <c r="S126" s="77"/>
      <c r="T126" s="77"/>
    </row>
    <row r="127" ht="12.75" customHeight="1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O127" s="77"/>
      <c r="S127" s="77"/>
      <c r="T127" s="77"/>
    </row>
    <row r="128" ht="12.75" customHeight="1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O128" s="77"/>
      <c r="S128" s="77"/>
      <c r="T128" s="77"/>
    </row>
    <row r="129" ht="12.75" customHeight="1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O129" s="77"/>
      <c r="S129" s="77"/>
      <c r="T129" s="77"/>
    </row>
    <row r="130" ht="12.75" customHeight="1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O130" s="77"/>
      <c r="S130" s="77"/>
      <c r="T130" s="77"/>
    </row>
    <row r="131" ht="12.75" customHeight="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O131" s="77"/>
      <c r="S131" s="77"/>
      <c r="T131" s="77"/>
    </row>
    <row r="132" ht="12.75" customHeight="1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O132" s="77"/>
      <c r="S132" s="77"/>
      <c r="T132" s="77"/>
    </row>
    <row r="133" ht="12.75" customHeight="1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O133" s="77"/>
      <c r="S133" s="77"/>
      <c r="T133" s="77"/>
    </row>
    <row r="134" ht="12.75" customHeight="1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O134" s="77"/>
      <c r="S134" s="77"/>
      <c r="T134" s="77"/>
    </row>
    <row r="135" ht="12.75" customHeight="1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O135" s="77"/>
      <c r="S135" s="77"/>
      <c r="T135" s="77"/>
    </row>
    <row r="136" ht="12.75" customHeight="1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O136" s="77"/>
      <c r="S136" s="77"/>
      <c r="T136" s="77"/>
    </row>
    <row r="137" ht="12.75" customHeight="1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O137" s="77"/>
      <c r="S137" s="77"/>
      <c r="T137" s="77"/>
    </row>
    <row r="138" ht="12.75" customHeight="1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O138" s="77"/>
      <c r="S138" s="77"/>
      <c r="T138" s="77"/>
    </row>
    <row r="139" ht="12.75" customHeight="1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O139" s="77"/>
      <c r="S139" s="77"/>
      <c r="T139" s="77"/>
    </row>
    <row r="140" ht="12.75" customHeight="1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O140" s="77"/>
      <c r="S140" s="77"/>
      <c r="T140" s="77"/>
    </row>
    <row r="141" ht="12.75" customHeight="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O141" s="77"/>
      <c r="S141" s="77"/>
      <c r="T141" s="77"/>
    </row>
    <row r="142" ht="12.75" customHeight="1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O142" s="77"/>
      <c r="S142" s="77"/>
      <c r="T142" s="77"/>
    </row>
    <row r="143" ht="12.75" customHeight="1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O143" s="77"/>
      <c r="S143" s="77"/>
      <c r="T143" s="77"/>
    </row>
    <row r="144" ht="12.75" customHeight="1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O144" s="77"/>
      <c r="S144" s="77"/>
      <c r="T144" s="77"/>
    </row>
    <row r="145" ht="12.75" customHeight="1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O145" s="77"/>
      <c r="S145" s="77"/>
      <c r="T145" s="77"/>
    </row>
    <row r="146" ht="12.75" customHeight="1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O146" s="77"/>
      <c r="S146" s="77"/>
      <c r="T146" s="77"/>
    </row>
    <row r="147" ht="12.75" customHeight="1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O147" s="77"/>
      <c r="S147" s="77"/>
      <c r="T147" s="77"/>
    </row>
    <row r="148" ht="12.75" customHeight="1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O148" s="77"/>
      <c r="S148" s="77"/>
      <c r="T148" s="77"/>
    </row>
    <row r="149" ht="12.75" customHeight="1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O149" s="77"/>
      <c r="S149" s="77"/>
      <c r="T149" s="77"/>
    </row>
    <row r="150" ht="12.75" customHeight="1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O150" s="77"/>
      <c r="S150" s="77"/>
      <c r="T150" s="77"/>
    </row>
    <row r="151" ht="12.75" customHeight="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O151" s="77"/>
      <c r="S151" s="77"/>
      <c r="T151" s="77"/>
    </row>
    <row r="152" ht="12.75" customHeight="1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O152" s="77"/>
      <c r="S152" s="77"/>
      <c r="T152" s="77"/>
    </row>
    <row r="153" ht="12.75" customHeight="1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O153" s="77"/>
      <c r="S153" s="77"/>
      <c r="T153" s="77"/>
    </row>
    <row r="154" ht="12.75" customHeight="1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O154" s="77"/>
      <c r="S154" s="77"/>
      <c r="T154" s="77"/>
    </row>
    <row r="155" ht="12.75" customHeight="1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O155" s="77"/>
      <c r="S155" s="77"/>
      <c r="T155" s="77"/>
    </row>
    <row r="156" ht="12.75" customHeight="1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O156" s="77"/>
      <c r="S156" s="77"/>
      <c r="T156" s="77"/>
    </row>
    <row r="157" ht="12.75" customHeight="1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O157" s="77"/>
      <c r="S157" s="77"/>
      <c r="T157" s="77"/>
    </row>
    <row r="158" ht="12.75" customHeight="1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O158" s="77"/>
      <c r="S158" s="77"/>
      <c r="T158" s="77"/>
    </row>
    <row r="159" ht="12.75" customHeight="1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O159" s="77"/>
      <c r="S159" s="77"/>
      <c r="T159" s="77"/>
    </row>
    <row r="160" ht="12.75" customHeight="1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O160" s="77"/>
      <c r="S160" s="77"/>
      <c r="T160" s="77"/>
    </row>
    <row r="161" ht="12.75" customHeight="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O161" s="77"/>
      <c r="S161" s="77"/>
      <c r="T161" s="77"/>
    </row>
    <row r="162" ht="12.75" customHeight="1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O162" s="77"/>
      <c r="S162" s="77"/>
      <c r="T162" s="77"/>
    </row>
    <row r="163" ht="12.75" customHeight="1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O163" s="77"/>
      <c r="S163" s="77"/>
      <c r="T163" s="77"/>
    </row>
    <row r="164" ht="12.75" customHeight="1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O164" s="77"/>
      <c r="S164" s="77"/>
      <c r="T164" s="77"/>
    </row>
    <row r="165" ht="12.75" customHeight="1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O165" s="77"/>
      <c r="S165" s="77"/>
      <c r="T165" s="77"/>
    </row>
    <row r="166" ht="12.75" customHeight="1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O166" s="77"/>
      <c r="S166" s="77"/>
      <c r="T166" s="77"/>
    </row>
    <row r="167" ht="12.75" customHeight="1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O167" s="77"/>
      <c r="S167" s="77"/>
      <c r="T167" s="77"/>
    </row>
    <row r="168" ht="12.75" customHeight="1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O168" s="77"/>
      <c r="S168" s="77"/>
      <c r="T168" s="77"/>
    </row>
    <row r="169" ht="12.75" customHeight="1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O169" s="77"/>
      <c r="S169" s="77"/>
      <c r="T169" s="77"/>
    </row>
    <row r="170" ht="12.75" customHeight="1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O170" s="77"/>
      <c r="S170" s="77"/>
      <c r="T170" s="77"/>
    </row>
    <row r="171" ht="12.75" customHeight="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O171" s="77"/>
      <c r="S171" s="77"/>
      <c r="T171" s="77"/>
    </row>
    <row r="172" ht="12.75" customHeight="1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O172" s="77"/>
      <c r="S172" s="77"/>
      <c r="T172" s="77"/>
    </row>
    <row r="173" ht="12.75" customHeight="1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O173" s="77"/>
      <c r="S173" s="77"/>
      <c r="T173" s="77"/>
    </row>
    <row r="174" ht="12.75" customHeight="1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O174" s="77"/>
      <c r="S174" s="77"/>
      <c r="T174" s="77"/>
    </row>
    <row r="175" ht="12.75" customHeight="1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O175" s="77"/>
      <c r="S175" s="77"/>
      <c r="T175" s="77"/>
    </row>
    <row r="176" ht="12.75" customHeight="1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O176" s="77"/>
      <c r="S176" s="77"/>
      <c r="T176" s="77"/>
    </row>
    <row r="177" ht="12.75" customHeight="1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O177" s="77"/>
      <c r="S177" s="77"/>
      <c r="T177" s="77"/>
    </row>
    <row r="178" ht="12.75" customHeight="1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O178" s="77"/>
      <c r="S178" s="77"/>
      <c r="T178" s="77"/>
    </row>
    <row r="179" ht="12.75" customHeight="1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O179" s="77"/>
      <c r="S179" s="77"/>
      <c r="T179" s="77"/>
    </row>
    <row r="180" ht="12.75" customHeight="1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O180" s="77"/>
      <c r="S180" s="77"/>
      <c r="T180" s="77"/>
    </row>
    <row r="181" ht="12.75" customHeight="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O181" s="77"/>
      <c r="S181" s="77"/>
      <c r="T181" s="77"/>
    </row>
    <row r="182" ht="12.75" customHeight="1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O182" s="77"/>
      <c r="S182" s="77"/>
      <c r="T182" s="77"/>
    </row>
    <row r="183" ht="12.75" customHeight="1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O183" s="77"/>
      <c r="S183" s="77"/>
      <c r="T183" s="77"/>
    </row>
    <row r="184" ht="12.75" customHeight="1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O184" s="77"/>
      <c r="S184" s="77"/>
      <c r="T184" s="77"/>
    </row>
    <row r="185" ht="12.75" customHeight="1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O185" s="77"/>
      <c r="S185" s="77"/>
      <c r="T185" s="77"/>
    </row>
    <row r="186" ht="12.75" customHeight="1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O186" s="77"/>
      <c r="S186" s="77"/>
      <c r="T186" s="77"/>
    </row>
    <row r="187" ht="12.75" customHeight="1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O187" s="77"/>
      <c r="S187" s="77"/>
      <c r="T187" s="77"/>
    </row>
    <row r="188" ht="12.75" customHeight="1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O188" s="77"/>
      <c r="S188" s="77"/>
      <c r="T188" s="77"/>
    </row>
    <row r="189" ht="12.75" customHeight="1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O189" s="77"/>
      <c r="S189" s="77"/>
      <c r="T189" s="77"/>
    </row>
    <row r="190" ht="12.75" customHeight="1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O190" s="77"/>
      <c r="S190" s="77"/>
      <c r="T190" s="77"/>
    </row>
    <row r="191" ht="12.75" customHeight="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O191" s="77"/>
      <c r="S191" s="77"/>
      <c r="T191" s="77"/>
    </row>
    <row r="192" ht="12.75" customHeight="1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O192" s="77"/>
      <c r="S192" s="77"/>
      <c r="T192" s="77"/>
    </row>
    <row r="193" ht="12.75" customHeight="1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O193" s="77"/>
      <c r="S193" s="77"/>
      <c r="T193" s="77"/>
    </row>
    <row r="194" ht="12.75" customHeight="1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O194" s="77"/>
      <c r="S194" s="77"/>
      <c r="T194" s="77"/>
    </row>
    <row r="195" ht="12.75" customHeight="1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O195" s="77"/>
      <c r="S195" s="77"/>
      <c r="T195" s="77"/>
    </row>
    <row r="196" ht="12.75" customHeight="1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O196" s="77"/>
      <c r="S196" s="77"/>
      <c r="T196" s="77"/>
    </row>
    <row r="197" ht="12.75" customHeight="1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O197" s="77"/>
      <c r="S197" s="77"/>
      <c r="T197" s="77"/>
    </row>
    <row r="198" ht="12.75" customHeight="1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O198" s="77"/>
      <c r="S198" s="77"/>
      <c r="T198" s="77"/>
    </row>
    <row r="199" ht="12.75" customHeight="1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O199" s="77"/>
      <c r="S199" s="77"/>
      <c r="T199" s="77"/>
    </row>
    <row r="200" ht="12.75" customHeight="1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O200" s="77"/>
      <c r="S200" s="77"/>
      <c r="T200" s="77"/>
    </row>
    <row r="201" ht="12.75" customHeight="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O201" s="77"/>
      <c r="S201" s="77"/>
      <c r="T201" s="77"/>
    </row>
    <row r="202" ht="12.75" customHeight="1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O202" s="77"/>
      <c r="S202" s="77"/>
      <c r="T202" s="77"/>
    </row>
    <row r="203" ht="12.75" customHeight="1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O203" s="77"/>
      <c r="S203" s="77"/>
      <c r="T203" s="77"/>
    </row>
    <row r="204" ht="12.75" customHeight="1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O204" s="77"/>
      <c r="S204" s="77"/>
      <c r="T204" s="77"/>
    </row>
    <row r="205" ht="12.75" customHeight="1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O205" s="77"/>
      <c r="S205" s="77"/>
      <c r="T205" s="77"/>
    </row>
    <row r="206" ht="12.75" customHeight="1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O206" s="77"/>
      <c r="S206" s="77"/>
      <c r="T206" s="77"/>
    </row>
    <row r="207" ht="12.75" customHeight="1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O207" s="77"/>
      <c r="S207" s="77"/>
      <c r="T207" s="77"/>
    </row>
    <row r="208" ht="12.75" customHeight="1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O208" s="77"/>
      <c r="S208" s="77"/>
      <c r="T208" s="77"/>
    </row>
    <row r="209" ht="12.75" customHeight="1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O209" s="77"/>
      <c r="S209" s="77"/>
      <c r="T209" s="77"/>
    </row>
    <row r="210" ht="12.75" customHeight="1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O210" s="77"/>
      <c r="S210" s="77"/>
      <c r="T210" s="77"/>
    </row>
    <row r="211" ht="12.75" customHeight="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O211" s="77"/>
      <c r="S211" s="77"/>
      <c r="T211" s="77"/>
    </row>
    <row r="212" ht="12.75" customHeight="1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O212" s="77"/>
      <c r="S212" s="77"/>
      <c r="T212" s="77"/>
    </row>
    <row r="213" ht="12.75" customHeight="1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O213" s="77"/>
      <c r="S213" s="77"/>
      <c r="T213" s="77"/>
    </row>
    <row r="214" ht="12.75" customHeight="1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O214" s="77"/>
      <c r="S214" s="77"/>
      <c r="T214" s="77"/>
    </row>
    <row r="215" ht="12.75" customHeight="1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O215" s="77"/>
      <c r="S215" s="77"/>
      <c r="T215" s="77"/>
    </row>
    <row r="216" ht="12.75" customHeight="1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O216" s="77"/>
      <c r="S216" s="77"/>
      <c r="T216" s="77"/>
    </row>
    <row r="217" ht="12.75" customHeight="1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O217" s="77"/>
      <c r="S217" s="77"/>
      <c r="T217" s="77"/>
    </row>
    <row r="218" ht="12.75" customHeight="1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O218" s="77"/>
      <c r="S218" s="77"/>
      <c r="T218" s="77"/>
    </row>
    <row r="219" ht="12.75" customHeight="1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O219" s="77"/>
      <c r="S219" s="77"/>
      <c r="T219" s="77"/>
    </row>
    <row r="220" ht="12.75" customHeight="1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O220" s="77"/>
      <c r="S220" s="77"/>
      <c r="T220" s="77"/>
    </row>
    <row r="221" ht="12.75" customHeight="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O221" s="77"/>
      <c r="S221" s="77"/>
      <c r="T221" s="77"/>
    </row>
    <row r="222" ht="12.75" customHeight="1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O222" s="77"/>
      <c r="S222" s="77"/>
      <c r="T222" s="77"/>
    </row>
    <row r="223" ht="12.75" customHeight="1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O223" s="77"/>
      <c r="S223" s="77"/>
      <c r="T223" s="77"/>
    </row>
    <row r="224" ht="12.75" customHeight="1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O224" s="77"/>
      <c r="S224" s="77"/>
      <c r="T224" s="77"/>
    </row>
    <row r="225" ht="12.75" customHeight="1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O225" s="77"/>
      <c r="S225" s="77"/>
      <c r="T225" s="77"/>
    </row>
    <row r="226" ht="12.75" customHeight="1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O226" s="77"/>
      <c r="S226" s="77"/>
      <c r="T226" s="77"/>
    </row>
    <row r="227" ht="12.75" customHeight="1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O227" s="77"/>
      <c r="S227" s="77"/>
      <c r="T227" s="77"/>
    </row>
    <row r="228" ht="12.75" customHeight="1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O228" s="77"/>
      <c r="S228" s="77"/>
      <c r="T228" s="77"/>
    </row>
    <row r="229" ht="12.75" customHeight="1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O229" s="77"/>
      <c r="S229" s="77"/>
      <c r="T229" s="77"/>
    </row>
    <row r="230" ht="12.75" customHeight="1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O230" s="77"/>
      <c r="S230" s="77"/>
      <c r="T230" s="77"/>
    </row>
    <row r="231" ht="12.75" customHeight="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O231" s="77"/>
      <c r="S231" s="77"/>
      <c r="T231" s="77"/>
    </row>
    <row r="232" ht="12.75" customHeight="1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O232" s="77"/>
      <c r="S232" s="77"/>
      <c r="T232" s="77"/>
    </row>
    <row r="233" ht="12.75" customHeight="1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O233" s="77"/>
      <c r="S233" s="77"/>
      <c r="T233" s="77"/>
    </row>
    <row r="234" ht="12.75" customHeight="1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O234" s="77"/>
      <c r="S234" s="77"/>
      <c r="T234" s="77"/>
    </row>
    <row r="235" ht="12.75" customHeight="1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O235" s="77"/>
      <c r="S235" s="77"/>
      <c r="T235" s="77"/>
    </row>
    <row r="236" ht="12.75" customHeight="1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O236" s="77"/>
      <c r="S236" s="77"/>
      <c r="T236" s="77"/>
    </row>
    <row r="237" ht="12.75" customHeight="1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O237" s="77"/>
      <c r="S237" s="77"/>
      <c r="T237" s="77"/>
    </row>
    <row r="238" ht="12.75" customHeight="1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O238" s="77"/>
      <c r="S238" s="77"/>
      <c r="T238" s="77"/>
    </row>
    <row r="239" ht="12.75" customHeight="1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O239" s="77"/>
      <c r="S239" s="77"/>
      <c r="T239" s="77"/>
    </row>
    <row r="240" ht="12.75" customHeight="1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O240" s="77"/>
      <c r="S240" s="77"/>
      <c r="T240" s="77"/>
    </row>
    <row r="241" ht="12.75" customHeight="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O241" s="77"/>
      <c r="S241" s="77"/>
      <c r="T241" s="77"/>
    </row>
    <row r="242" ht="12.75" customHeight="1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O242" s="77"/>
      <c r="S242" s="77"/>
      <c r="T242" s="77"/>
    </row>
    <row r="243" ht="12.75" customHeight="1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O243" s="77"/>
      <c r="S243" s="77"/>
      <c r="T243" s="77"/>
    </row>
    <row r="244" ht="12.75" customHeight="1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O244" s="77"/>
      <c r="S244" s="77"/>
      <c r="T244" s="77"/>
    </row>
    <row r="245" ht="12.75" customHeight="1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O245" s="77"/>
      <c r="S245" s="77"/>
      <c r="T245" s="77"/>
    </row>
    <row r="246" ht="12.75" customHeight="1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O246" s="77"/>
      <c r="S246" s="77"/>
      <c r="T246" s="77"/>
    </row>
    <row r="247" ht="12.75" customHeight="1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O247" s="77"/>
      <c r="S247" s="77"/>
      <c r="T247" s="77"/>
    </row>
    <row r="248" ht="12.75" customHeight="1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O248" s="77"/>
      <c r="S248" s="77"/>
      <c r="T248" s="77"/>
    </row>
    <row r="249" ht="12.75" customHeight="1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O249" s="77"/>
      <c r="S249" s="77"/>
      <c r="T249" s="77"/>
    </row>
    <row r="250" ht="12.75" customHeight="1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O250" s="77"/>
      <c r="S250" s="77"/>
      <c r="T250" s="77"/>
    </row>
    <row r="251" ht="12.75" customHeight="1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O251" s="77"/>
      <c r="S251" s="77"/>
      <c r="T251" s="77"/>
    </row>
    <row r="252" ht="12.75" customHeight="1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O252" s="77"/>
      <c r="S252" s="77"/>
      <c r="T252" s="77"/>
    </row>
    <row r="253" ht="12.75" customHeight="1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O253" s="77"/>
      <c r="S253" s="77"/>
      <c r="T253" s="77"/>
    </row>
    <row r="254" ht="12.75" customHeight="1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O254" s="77"/>
      <c r="S254" s="77"/>
      <c r="T254" s="77"/>
    </row>
    <row r="255" ht="12.75" customHeight="1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O255" s="77"/>
      <c r="S255" s="77"/>
      <c r="T255" s="77"/>
    </row>
    <row r="256" ht="12.75" customHeight="1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O256" s="77"/>
      <c r="S256" s="77"/>
      <c r="T256" s="77"/>
    </row>
    <row r="257" ht="12.75" customHeight="1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O257" s="77"/>
      <c r="S257" s="77"/>
      <c r="T257" s="77"/>
    </row>
    <row r="258" ht="12.75" customHeight="1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O258" s="77"/>
      <c r="S258" s="77"/>
      <c r="T258" s="77"/>
    </row>
    <row r="259" ht="12.75" customHeight="1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O259" s="77"/>
      <c r="S259" s="77"/>
      <c r="T259" s="77"/>
    </row>
    <row r="260" ht="12.75" customHeight="1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O260" s="77"/>
      <c r="S260" s="77"/>
      <c r="T260" s="77"/>
    </row>
    <row r="261" ht="12.75" customHeight="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O261" s="77"/>
      <c r="S261" s="77"/>
      <c r="T261" s="77"/>
    </row>
    <row r="262" ht="12.75" customHeight="1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O262" s="77"/>
      <c r="S262" s="77"/>
      <c r="T262" s="77"/>
    </row>
    <row r="263" ht="12.75" customHeight="1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O263" s="77"/>
      <c r="S263" s="77"/>
      <c r="T263" s="77"/>
    </row>
    <row r="264" ht="12.75" customHeight="1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O264" s="77"/>
      <c r="S264" s="77"/>
      <c r="T264" s="77"/>
    </row>
    <row r="265" ht="12.75" customHeight="1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O265" s="77"/>
      <c r="S265" s="77"/>
      <c r="T265" s="77"/>
    </row>
    <row r="266" ht="12.75" customHeight="1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O266" s="77"/>
      <c r="S266" s="77"/>
      <c r="T266" s="77"/>
    </row>
    <row r="267" ht="12.75" customHeight="1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O267" s="77"/>
      <c r="S267" s="77"/>
      <c r="T267" s="77"/>
    </row>
    <row r="268" ht="12.75" customHeight="1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O268" s="77"/>
      <c r="S268" s="77"/>
      <c r="T268" s="77"/>
    </row>
    <row r="269" ht="12.75" customHeight="1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O269" s="77"/>
      <c r="S269" s="77"/>
      <c r="T269" s="77"/>
    </row>
    <row r="270" ht="12.75" customHeight="1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O270" s="77"/>
      <c r="S270" s="77"/>
      <c r="T270" s="77"/>
    </row>
    <row r="271" ht="12.75" customHeight="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O271" s="77"/>
      <c r="S271" s="77"/>
      <c r="T271" s="77"/>
    </row>
    <row r="272" ht="12.75" customHeight="1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O272" s="77"/>
      <c r="S272" s="77"/>
      <c r="T272" s="77"/>
    </row>
    <row r="273" ht="12.75" customHeight="1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O273" s="77"/>
      <c r="S273" s="77"/>
      <c r="T273" s="77"/>
    </row>
    <row r="274" ht="12.75" customHeight="1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O274" s="77"/>
      <c r="S274" s="77"/>
      <c r="T274" s="77"/>
    </row>
    <row r="275" ht="12.75" customHeight="1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O275" s="77"/>
      <c r="S275" s="77"/>
      <c r="T275" s="77"/>
    </row>
    <row r="276" ht="12.75" customHeight="1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O276" s="77"/>
      <c r="S276" s="77"/>
      <c r="T276" s="77"/>
    </row>
    <row r="277" ht="12.75" customHeight="1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O277" s="77"/>
      <c r="S277" s="77"/>
      <c r="T277" s="77"/>
    </row>
    <row r="278" ht="12.75" customHeight="1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O278" s="77"/>
      <c r="S278" s="77"/>
      <c r="T278" s="77"/>
    </row>
    <row r="279" ht="12.75" customHeight="1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O279" s="77"/>
      <c r="S279" s="77"/>
      <c r="T279" s="77"/>
    </row>
    <row r="280" ht="12.75" customHeight="1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O280" s="77"/>
      <c r="S280" s="77"/>
      <c r="T280" s="77"/>
    </row>
    <row r="281" ht="12.75" customHeight="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O281" s="77"/>
      <c r="S281" s="77"/>
      <c r="T281" s="77"/>
    </row>
    <row r="282" ht="12.75" customHeight="1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O282" s="77"/>
      <c r="S282" s="77"/>
      <c r="T282" s="77"/>
    </row>
    <row r="283" ht="12.75" customHeight="1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O283" s="77"/>
      <c r="S283" s="77"/>
      <c r="T283" s="77"/>
    </row>
    <row r="284" ht="12.75" customHeight="1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O284" s="77"/>
      <c r="S284" s="77"/>
      <c r="T284" s="77"/>
    </row>
    <row r="285" ht="12.75" customHeight="1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O285" s="77"/>
      <c r="S285" s="77"/>
      <c r="T285" s="77"/>
    </row>
    <row r="286" ht="12.75" customHeight="1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O286" s="77"/>
      <c r="S286" s="77"/>
      <c r="T286" s="77"/>
    </row>
    <row r="287" ht="12.75" customHeight="1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O287" s="77"/>
      <c r="S287" s="77"/>
      <c r="T287" s="77"/>
    </row>
    <row r="288" ht="12.75" customHeight="1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O288" s="77"/>
      <c r="S288" s="77"/>
      <c r="T288" s="77"/>
    </row>
    <row r="289" ht="12.75" customHeight="1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O289" s="77"/>
      <c r="S289" s="77"/>
      <c r="T289" s="77"/>
    </row>
    <row r="290" ht="12.75" customHeight="1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O290" s="77"/>
      <c r="S290" s="77"/>
      <c r="T290" s="77"/>
    </row>
    <row r="291" ht="12.75" customHeight="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O291" s="77"/>
      <c r="S291" s="77"/>
      <c r="T291" s="77"/>
    </row>
    <row r="292" ht="12.75" customHeight="1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O292" s="77"/>
      <c r="S292" s="77"/>
      <c r="T292" s="77"/>
    </row>
    <row r="293" ht="12.75" customHeight="1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O293" s="77"/>
      <c r="S293" s="77"/>
      <c r="T293" s="77"/>
    </row>
    <row r="294" ht="12.75" customHeight="1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O294" s="77"/>
      <c r="S294" s="77"/>
      <c r="T294" s="77"/>
    </row>
    <row r="295" ht="12.75" customHeight="1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O295" s="77"/>
      <c r="S295" s="77"/>
      <c r="T295" s="77"/>
    </row>
    <row r="296" ht="12.75" customHeight="1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O296" s="77"/>
      <c r="S296" s="77"/>
      <c r="T296" s="77"/>
    </row>
    <row r="297" ht="12.75" customHeight="1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O297" s="77"/>
      <c r="S297" s="77"/>
      <c r="T297" s="77"/>
    </row>
    <row r="298" ht="12.75" customHeight="1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O298" s="77"/>
      <c r="S298" s="77"/>
      <c r="T298" s="77"/>
    </row>
    <row r="299" ht="12.75" customHeight="1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O299" s="77"/>
      <c r="S299" s="77"/>
      <c r="T299" s="77"/>
    </row>
    <row r="300" ht="12.75" customHeight="1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O300" s="77"/>
      <c r="S300" s="77"/>
      <c r="T300" s="77"/>
    </row>
    <row r="301" ht="12.75" customHeight="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O301" s="77"/>
      <c r="S301" s="77"/>
      <c r="T301" s="77"/>
    </row>
    <row r="302" ht="12.75" customHeight="1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O302" s="77"/>
      <c r="S302" s="77"/>
      <c r="T302" s="77"/>
    </row>
    <row r="303" ht="12.75" customHeight="1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O303" s="77"/>
      <c r="S303" s="77"/>
      <c r="T303" s="77"/>
    </row>
    <row r="304" ht="12.75" customHeight="1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O304" s="77"/>
      <c r="S304" s="77"/>
      <c r="T304" s="77"/>
    </row>
    <row r="305" ht="12.75" customHeight="1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O305" s="77"/>
      <c r="S305" s="77"/>
      <c r="T305" s="77"/>
    </row>
    <row r="306" ht="12.75" customHeight="1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O306" s="77"/>
      <c r="S306" s="77"/>
      <c r="T306" s="77"/>
    </row>
    <row r="307" ht="12.75" customHeight="1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O307" s="77"/>
      <c r="S307" s="77"/>
      <c r="T307" s="77"/>
    </row>
    <row r="308" ht="12.75" customHeight="1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O308" s="77"/>
      <c r="S308" s="77"/>
      <c r="T308" s="77"/>
    </row>
    <row r="309" ht="12.75" customHeight="1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O309" s="77"/>
      <c r="S309" s="77"/>
      <c r="T309" s="77"/>
    </row>
    <row r="310" ht="12.75" customHeight="1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O310" s="77"/>
      <c r="S310" s="77"/>
      <c r="T310" s="77"/>
    </row>
    <row r="311" ht="12.75" customHeight="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O311" s="77"/>
      <c r="S311" s="77"/>
      <c r="T311" s="77"/>
    </row>
    <row r="312" ht="12.75" customHeight="1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O312" s="77"/>
      <c r="S312" s="77"/>
      <c r="T312" s="77"/>
    </row>
    <row r="313" ht="12.75" customHeight="1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O313" s="77"/>
      <c r="S313" s="77"/>
      <c r="T313" s="77"/>
    </row>
    <row r="314" ht="12.75" customHeight="1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O314" s="77"/>
      <c r="S314" s="77"/>
      <c r="T314" s="77"/>
    </row>
    <row r="315" ht="12.75" customHeight="1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O315" s="77"/>
      <c r="S315" s="77"/>
      <c r="T315" s="77"/>
    </row>
    <row r="316" ht="12.75" customHeight="1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O316" s="77"/>
      <c r="S316" s="77"/>
      <c r="T316" s="77"/>
    </row>
    <row r="317" ht="12.75" customHeight="1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O317" s="77"/>
      <c r="S317" s="77"/>
      <c r="T317" s="77"/>
    </row>
    <row r="318" ht="12.75" customHeight="1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O318" s="77"/>
      <c r="S318" s="77"/>
      <c r="T318" s="77"/>
    </row>
    <row r="319" ht="12.75" customHeight="1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O319" s="77"/>
      <c r="S319" s="77"/>
      <c r="T319" s="77"/>
    </row>
    <row r="320" ht="12.75" customHeight="1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O320" s="77"/>
      <c r="S320" s="77"/>
      <c r="T320" s="77"/>
    </row>
    <row r="321" ht="12.75" customHeight="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O321" s="77"/>
      <c r="S321" s="77"/>
      <c r="T321" s="77"/>
    </row>
    <row r="322" ht="12.75" customHeight="1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O322" s="77"/>
      <c r="S322" s="77"/>
      <c r="T322" s="77"/>
    </row>
    <row r="323" ht="12.75" customHeight="1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O323" s="77"/>
      <c r="S323" s="77"/>
      <c r="T323" s="77"/>
    </row>
    <row r="324" ht="12.75" customHeight="1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O324" s="77"/>
      <c r="S324" s="77"/>
      <c r="T324" s="77"/>
    </row>
    <row r="325" ht="12.75" customHeight="1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O325" s="77"/>
      <c r="S325" s="77"/>
      <c r="T325" s="77"/>
    </row>
    <row r="326" ht="12.75" customHeight="1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O326" s="77"/>
      <c r="S326" s="77"/>
      <c r="T326" s="77"/>
    </row>
    <row r="327" ht="12.75" customHeight="1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O327" s="77"/>
      <c r="S327" s="77"/>
      <c r="T327" s="77"/>
    </row>
    <row r="328" ht="12.75" customHeight="1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O328" s="77"/>
      <c r="S328" s="77"/>
      <c r="T328" s="77"/>
    </row>
    <row r="329" ht="12.75" customHeight="1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O329" s="77"/>
      <c r="S329" s="77"/>
      <c r="T329" s="77"/>
    </row>
    <row r="330" ht="12.75" customHeight="1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O330" s="77"/>
      <c r="S330" s="77"/>
      <c r="T330" s="77"/>
    </row>
    <row r="331" ht="12.75" customHeight="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O331" s="77"/>
      <c r="S331" s="77"/>
      <c r="T331" s="77"/>
    </row>
    <row r="332" ht="12.75" customHeight="1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O332" s="77"/>
      <c r="S332" s="77"/>
      <c r="T332" s="77"/>
    </row>
    <row r="333" ht="12.75" customHeight="1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O333" s="77"/>
      <c r="S333" s="77"/>
      <c r="T333" s="77"/>
    </row>
    <row r="334" ht="12.75" customHeight="1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O334" s="77"/>
      <c r="S334" s="77"/>
      <c r="T334" s="77"/>
    </row>
    <row r="335" ht="12.75" customHeight="1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O335" s="77"/>
      <c r="S335" s="77"/>
      <c r="T335" s="77"/>
    </row>
    <row r="336" ht="12.75" customHeight="1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O336" s="77"/>
      <c r="S336" s="77"/>
      <c r="T336" s="77"/>
    </row>
    <row r="337" ht="12.75" customHeight="1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O337" s="77"/>
      <c r="S337" s="77"/>
      <c r="T337" s="77"/>
    </row>
    <row r="338" ht="12.75" customHeight="1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O338" s="77"/>
      <c r="S338" s="77"/>
      <c r="T338" s="77"/>
    </row>
    <row r="339" ht="12.75" customHeight="1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O339" s="77"/>
      <c r="S339" s="77"/>
      <c r="T339" s="77"/>
    </row>
    <row r="340" ht="12.75" customHeight="1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O340" s="77"/>
      <c r="S340" s="77"/>
      <c r="T340" s="77"/>
    </row>
    <row r="341" ht="12.75" customHeight="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O341" s="77"/>
      <c r="S341" s="77"/>
      <c r="T341" s="77"/>
    </row>
    <row r="342" ht="12.75" customHeight="1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O342" s="77"/>
      <c r="S342" s="77"/>
      <c r="T342" s="77"/>
    </row>
    <row r="343" ht="12.75" customHeight="1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O343" s="77"/>
      <c r="S343" s="77"/>
      <c r="T343" s="77"/>
    </row>
    <row r="344" ht="12.75" customHeight="1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O344" s="77"/>
      <c r="S344" s="77"/>
      <c r="T344" s="77"/>
    </row>
    <row r="345" ht="12.75" customHeight="1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O345" s="77"/>
      <c r="S345" s="77"/>
      <c r="T345" s="77"/>
    </row>
    <row r="346" ht="12.75" customHeight="1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O346" s="77"/>
      <c r="S346" s="77"/>
      <c r="T346" s="77"/>
    </row>
    <row r="347" ht="12.75" customHeight="1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O347" s="77"/>
      <c r="S347" s="77"/>
      <c r="T347" s="77"/>
    </row>
    <row r="348" ht="12.75" customHeight="1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O348" s="77"/>
      <c r="S348" s="77"/>
      <c r="T348" s="77"/>
    </row>
    <row r="349" ht="12.75" customHeight="1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O349" s="77"/>
      <c r="S349" s="77"/>
      <c r="T349" s="77"/>
    </row>
    <row r="350" ht="12.75" customHeight="1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O350" s="77"/>
      <c r="S350" s="77"/>
      <c r="T350" s="77"/>
    </row>
    <row r="351" ht="12.75" customHeight="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O351" s="77"/>
      <c r="S351" s="77"/>
      <c r="T351" s="77"/>
    </row>
    <row r="352" ht="12.75" customHeight="1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O352" s="77"/>
      <c r="S352" s="77"/>
      <c r="T352" s="77"/>
    </row>
    <row r="353" ht="12.75" customHeight="1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O353" s="77"/>
      <c r="S353" s="77"/>
      <c r="T353" s="77"/>
    </row>
    <row r="354" ht="12.75" customHeight="1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O354" s="77"/>
      <c r="S354" s="77"/>
      <c r="T354" s="77"/>
    </row>
    <row r="355" ht="12.75" customHeight="1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O355" s="77"/>
      <c r="S355" s="77"/>
      <c r="T355" s="77"/>
    </row>
    <row r="356" ht="12.75" customHeight="1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O356" s="77"/>
      <c r="S356" s="77"/>
      <c r="T356" s="77"/>
    </row>
    <row r="357" ht="12.75" customHeight="1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O357" s="77"/>
      <c r="S357" s="77"/>
      <c r="T357" s="77"/>
    </row>
    <row r="358" ht="12.75" customHeight="1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O358" s="77"/>
      <c r="S358" s="77"/>
      <c r="T358" s="77"/>
    </row>
    <row r="359" ht="12.75" customHeight="1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O359" s="77"/>
      <c r="S359" s="77"/>
      <c r="T359" s="77"/>
    </row>
    <row r="360" ht="12.75" customHeight="1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O360" s="77"/>
      <c r="S360" s="77"/>
      <c r="T360" s="77"/>
    </row>
    <row r="361" ht="12.75" customHeight="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O361" s="77"/>
      <c r="S361" s="77"/>
      <c r="T361" s="77"/>
    </row>
    <row r="362" ht="12.75" customHeight="1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O362" s="77"/>
      <c r="S362" s="77"/>
      <c r="T362" s="77"/>
    </row>
    <row r="363" ht="12.75" customHeight="1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O363" s="77"/>
      <c r="S363" s="77"/>
      <c r="T363" s="77"/>
    </row>
    <row r="364" ht="12.75" customHeight="1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O364" s="77"/>
      <c r="S364" s="77"/>
      <c r="T364" s="77"/>
    </row>
    <row r="365" ht="12.75" customHeight="1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O365" s="77"/>
      <c r="S365" s="77"/>
      <c r="T365" s="77"/>
    </row>
    <row r="366" ht="12.75" customHeight="1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O366" s="77"/>
      <c r="S366" s="77"/>
      <c r="T366" s="77"/>
    </row>
    <row r="367" ht="12.75" customHeight="1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O367" s="77"/>
      <c r="S367" s="77"/>
      <c r="T367" s="77"/>
    </row>
    <row r="368" ht="12.75" customHeight="1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O368" s="77"/>
      <c r="S368" s="77"/>
      <c r="T368" s="77"/>
    </row>
    <row r="369" ht="12.75" customHeight="1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O369" s="77"/>
      <c r="S369" s="77"/>
      <c r="T369" s="77"/>
    </row>
    <row r="370" ht="12.75" customHeight="1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O370" s="77"/>
      <c r="S370" s="77"/>
      <c r="T370" s="77"/>
    </row>
    <row r="371" ht="12.75" customHeight="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O371" s="77"/>
      <c r="S371" s="77"/>
      <c r="T371" s="77"/>
    </row>
    <row r="372" ht="12.75" customHeight="1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O372" s="77"/>
      <c r="S372" s="77"/>
      <c r="T372" s="77"/>
    </row>
    <row r="373" ht="12.75" customHeight="1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O373" s="77"/>
      <c r="S373" s="77"/>
      <c r="T373" s="77"/>
    </row>
    <row r="374" ht="12.75" customHeight="1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O374" s="77"/>
      <c r="S374" s="77"/>
      <c r="T374" s="77"/>
    </row>
    <row r="375" ht="12.75" customHeight="1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O375" s="77"/>
      <c r="S375" s="77"/>
      <c r="T375" s="77"/>
    </row>
    <row r="376" ht="12.75" customHeight="1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O376" s="77"/>
      <c r="S376" s="77"/>
      <c r="T376" s="77"/>
    </row>
    <row r="377" ht="12.75" customHeight="1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O377" s="77"/>
      <c r="S377" s="77"/>
      <c r="T377" s="77"/>
    </row>
    <row r="378" ht="12.75" customHeight="1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O378" s="77"/>
      <c r="S378" s="77"/>
      <c r="T378" s="77"/>
    </row>
    <row r="379" ht="12.75" customHeight="1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O379" s="77"/>
      <c r="S379" s="77"/>
      <c r="T379" s="77"/>
    </row>
    <row r="380" ht="12.75" customHeight="1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O380" s="77"/>
      <c r="S380" s="77"/>
      <c r="T380" s="77"/>
    </row>
    <row r="381" ht="12.75" customHeight="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O381" s="77"/>
      <c r="S381" s="77"/>
      <c r="T381" s="77"/>
    </row>
    <row r="382" ht="12.75" customHeight="1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O382" s="77"/>
      <c r="S382" s="77"/>
      <c r="T382" s="77"/>
    </row>
    <row r="383" ht="12.75" customHeight="1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O383" s="77"/>
      <c r="S383" s="77"/>
      <c r="T383" s="77"/>
    </row>
    <row r="384" ht="12.75" customHeight="1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O384" s="77"/>
      <c r="S384" s="77"/>
      <c r="T384" s="77"/>
    </row>
    <row r="385" ht="12.75" customHeight="1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O385" s="77"/>
      <c r="S385" s="77"/>
      <c r="T385" s="77"/>
    </row>
    <row r="386" ht="12.75" customHeight="1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O386" s="77"/>
      <c r="S386" s="77"/>
      <c r="T386" s="77"/>
    </row>
    <row r="387" ht="12.75" customHeight="1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O387" s="77"/>
      <c r="S387" s="77"/>
      <c r="T387" s="77"/>
    </row>
    <row r="388" ht="12.75" customHeight="1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O388" s="77"/>
      <c r="S388" s="77"/>
      <c r="T388" s="77"/>
    </row>
    <row r="389" ht="12.75" customHeight="1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O389" s="77"/>
      <c r="S389" s="77"/>
      <c r="T389" s="77"/>
    </row>
    <row r="390" ht="12.75" customHeight="1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O390" s="77"/>
      <c r="S390" s="77"/>
      <c r="T390" s="77"/>
    </row>
    <row r="391" ht="12.75" customHeight="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O391" s="77"/>
      <c r="S391" s="77"/>
      <c r="T391" s="77"/>
    </row>
    <row r="392" ht="12.75" customHeight="1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O392" s="77"/>
      <c r="S392" s="77"/>
      <c r="T392" s="77"/>
    </row>
    <row r="393" ht="12.75" customHeight="1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O393" s="77"/>
      <c r="S393" s="77"/>
      <c r="T393" s="77"/>
    </row>
    <row r="394" ht="12.75" customHeight="1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O394" s="77"/>
      <c r="S394" s="77"/>
      <c r="T394" s="77"/>
    </row>
    <row r="395" ht="12.75" customHeight="1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O395" s="77"/>
      <c r="S395" s="77"/>
      <c r="T395" s="77"/>
    </row>
    <row r="396" ht="12.75" customHeight="1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O396" s="77"/>
      <c r="S396" s="77"/>
      <c r="T396" s="77"/>
    </row>
    <row r="397" ht="12.75" customHeight="1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O397" s="77"/>
      <c r="S397" s="77"/>
      <c r="T397" s="77"/>
    </row>
    <row r="398" ht="12.75" customHeight="1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O398" s="77"/>
      <c r="S398" s="77"/>
      <c r="T398" s="77"/>
    </row>
    <row r="399" ht="12.75" customHeight="1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O399" s="77"/>
      <c r="S399" s="77"/>
      <c r="T399" s="77"/>
    </row>
    <row r="400" ht="12.75" customHeight="1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O400" s="77"/>
      <c r="S400" s="77"/>
      <c r="T400" s="77"/>
    </row>
    <row r="401" ht="12.75" customHeight="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O401" s="77"/>
      <c r="S401" s="77"/>
      <c r="T401" s="77"/>
    </row>
    <row r="402" ht="12.75" customHeight="1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O402" s="77"/>
      <c r="S402" s="77"/>
      <c r="T402" s="77"/>
    </row>
    <row r="403" ht="12.75" customHeight="1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O403" s="77"/>
      <c r="S403" s="77"/>
      <c r="T403" s="77"/>
    </row>
    <row r="404" ht="12.75" customHeight="1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O404" s="77"/>
      <c r="S404" s="77"/>
      <c r="T404" s="77"/>
    </row>
    <row r="405" ht="12.75" customHeight="1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O405" s="77"/>
      <c r="S405" s="77"/>
      <c r="T405" s="77"/>
    </row>
    <row r="406" ht="12.75" customHeight="1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O406" s="77"/>
      <c r="S406" s="77"/>
      <c r="T406" s="77"/>
    </row>
    <row r="407" ht="12.75" customHeight="1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O407" s="77"/>
      <c r="S407" s="77"/>
      <c r="T407" s="77"/>
    </row>
    <row r="408" ht="12.75" customHeight="1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O408" s="77"/>
      <c r="S408" s="77"/>
      <c r="T408" s="77"/>
    </row>
    <row r="409" ht="12.75" customHeight="1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O409" s="77"/>
      <c r="S409" s="77"/>
      <c r="T409" s="77"/>
    </row>
    <row r="410" ht="12.75" customHeight="1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O410" s="77"/>
      <c r="S410" s="77"/>
      <c r="T410" s="77"/>
    </row>
    <row r="411" ht="12.75" customHeight="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O411" s="77"/>
      <c r="S411" s="77"/>
      <c r="T411" s="77"/>
    </row>
    <row r="412" ht="12.75" customHeight="1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O412" s="77"/>
      <c r="S412" s="77"/>
      <c r="T412" s="77"/>
    </row>
    <row r="413" ht="12.75" customHeight="1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O413" s="77"/>
      <c r="S413" s="77"/>
      <c r="T413" s="77"/>
    </row>
    <row r="414" ht="12.75" customHeight="1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O414" s="77"/>
      <c r="S414" s="77"/>
      <c r="T414" s="77"/>
    </row>
    <row r="415" ht="12.75" customHeight="1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O415" s="77"/>
      <c r="S415" s="77"/>
      <c r="T415" s="77"/>
    </row>
    <row r="416" ht="12.75" customHeight="1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O416" s="77"/>
      <c r="S416" s="77"/>
      <c r="T416" s="77"/>
    </row>
    <row r="417" ht="12.75" customHeight="1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O417" s="77"/>
      <c r="S417" s="77"/>
      <c r="T417" s="77"/>
    </row>
    <row r="418" ht="12.75" customHeight="1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O418" s="77"/>
      <c r="S418" s="77"/>
      <c r="T418" s="77"/>
    </row>
    <row r="419" ht="12.75" customHeight="1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O419" s="77"/>
      <c r="S419" s="77"/>
      <c r="T419" s="77"/>
    </row>
    <row r="420" ht="12.75" customHeight="1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O420" s="77"/>
      <c r="S420" s="77"/>
      <c r="T420" s="77"/>
    </row>
    <row r="421" ht="12.75" customHeight="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O421" s="77"/>
      <c r="S421" s="77"/>
      <c r="T421" s="77"/>
    </row>
    <row r="422" ht="12.75" customHeight="1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O422" s="77"/>
      <c r="S422" s="77"/>
      <c r="T422" s="77"/>
    </row>
    <row r="423" ht="12.75" customHeight="1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O423" s="77"/>
      <c r="S423" s="77"/>
      <c r="T423" s="77"/>
    </row>
    <row r="424" ht="12.75" customHeight="1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O424" s="77"/>
      <c r="S424" s="77"/>
      <c r="T424" s="77"/>
    </row>
    <row r="425" ht="12.75" customHeight="1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O425" s="77"/>
      <c r="S425" s="77"/>
      <c r="T425" s="77"/>
    </row>
    <row r="426" ht="12.75" customHeight="1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O426" s="77"/>
      <c r="S426" s="77"/>
      <c r="T426" s="77"/>
    </row>
    <row r="427" ht="12.75" customHeight="1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O427" s="77"/>
      <c r="S427" s="77"/>
      <c r="T427" s="77"/>
    </row>
    <row r="428" ht="12.75" customHeight="1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O428" s="77"/>
      <c r="S428" s="77"/>
      <c r="T428" s="77"/>
    </row>
    <row r="429" ht="12.75" customHeight="1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O429" s="77"/>
      <c r="S429" s="77"/>
      <c r="T429" s="77"/>
    </row>
    <row r="430" ht="12.75" customHeight="1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O430" s="77"/>
      <c r="S430" s="77"/>
      <c r="T430" s="77"/>
    </row>
    <row r="431" ht="12.75" customHeight="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O431" s="77"/>
      <c r="S431" s="77"/>
      <c r="T431" s="77"/>
    </row>
    <row r="432" ht="12.75" customHeight="1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O432" s="77"/>
      <c r="S432" s="77"/>
      <c r="T432" s="77"/>
    </row>
    <row r="433" ht="12.75" customHeight="1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O433" s="77"/>
      <c r="S433" s="77"/>
      <c r="T433" s="77"/>
    </row>
    <row r="434" ht="12.75" customHeight="1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O434" s="77"/>
      <c r="S434" s="77"/>
      <c r="T434" s="77"/>
    </row>
    <row r="435" ht="12.75" customHeight="1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O435" s="77"/>
      <c r="S435" s="77"/>
      <c r="T435" s="77"/>
    </row>
    <row r="436" ht="12.75" customHeight="1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O436" s="77"/>
      <c r="S436" s="77"/>
      <c r="T436" s="77"/>
    </row>
    <row r="437" ht="12.75" customHeight="1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O437" s="77"/>
      <c r="S437" s="77"/>
      <c r="T437" s="77"/>
    </row>
    <row r="438" ht="12.75" customHeight="1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O438" s="77"/>
      <c r="S438" s="77"/>
      <c r="T438" s="77"/>
    </row>
    <row r="439" ht="12.75" customHeight="1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O439" s="77"/>
      <c r="S439" s="77"/>
      <c r="T439" s="77"/>
    </row>
    <row r="440" ht="12.75" customHeight="1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O440" s="77"/>
      <c r="S440" s="77"/>
      <c r="T440" s="77"/>
    </row>
    <row r="441" ht="12.75" customHeight="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O441" s="77"/>
      <c r="S441" s="77"/>
      <c r="T441" s="77"/>
    </row>
    <row r="442" ht="12.75" customHeight="1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O442" s="77"/>
      <c r="S442" s="77"/>
      <c r="T442" s="77"/>
    </row>
    <row r="443" ht="12.75" customHeight="1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O443" s="77"/>
      <c r="S443" s="77"/>
      <c r="T443" s="77"/>
    </row>
    <row r="444" ht="12.75" customHeight="1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O444" s="77"/>
      <c r="S444" s="77"/>
      <c r="T444" s="77"/>
    </row>
    <row r="445" ht="12.75" customHeight="1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O445" s="77"/>
      <c r="S445" s="77"/>
      <c r="T445" s="77"/>
    </row>
    <row r="446" ht="12.75" customHeight="1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O446" s="77"/>
      <c r="S446" s="77"/>
      <c r="T446" s="77"/>
    </row>
    <row r="447" ht="12.75" customHeight="1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O447" s="77"/>
      <c r="S447" s="77"/>
      <c r="T447" s="77"/>
    </row>
    <row r="448" ht="12.75" customHeight="1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O448" s="77"/>
      <c r="S448" s="77"/>
      <c r="T448" s="77"/>
    </row>
    <row r="449" ht="12.75" customHeight="1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O449" s="77"/>
      <c r="S449" s="77"/>
      <c r="T449" s="77"/>
    </row>
    <row r="450" ht="12.75" customHeight="1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O450" s="77"/>
      <c r="S450" s="77"/>
      <c r="T450" s="77"/>
    </row>
    <row r="451" ht="12.75" customHeight="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O451" s="77"/>
      <c r="S451" s="77"/>
      <c r="T451" s="77"/>
    </row>
    <row r="452" ht="12.75" customHeight="1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O452" s="77"/>
      <c r="S452" s="77"/>
      <c r="T452" s="77"/>
    </row>
    <row r="453" ht="12.75" customHeight="1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O453" s="77"/>
      <c r="S453" s="77"/>
      <c r="T453" s="77"/>
    </row>
    <row r="454" ht="12.75" customHeight="1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O454" s="77"/>
      <c r="S454" s="77"/>
      <c r="T454" s="77"/>
    </row>
    <row r="455" ht="12.75" customHeight="1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O455" s="77"/>
      <c r="S455" s="77"/>
      <c r="T455" s="77"/>
    </row>
    <row r="456" ht="12.75" customHeight="1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O456" s="77"/>
      <c r="S456" s="77"/>
      <c r="T456" s="77"/>
    </row>
    <row r="457" ht="12.75" customHeight="1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O457" s="77"/>
      <c r="S457" s="77"/>
      <c r="T457" s="77"/>
    </row>
    <row r="458" ht="12.75" customHeight="1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O458" s="77"/>
      <c r="S458" s="77"/>
      <c r="T458" s="77"/>
    </row>
    <row r="459" ht="12.75" customHeight="1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O459" s="77"/>
      <c r="S459" s="77"/>
      <c r="T459" s="77"/>
    </row>
    <row r="460" ht="12.75" customHeight="1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O460" s="77"/>
      <c r="S460" s="77"/>
      <c r="T460" s="77"/>
    </row>
    <row r="461" ht="12.75" customHeight="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O461" s="77"/>
      <c r="S461" s="77"/>
      <c r="T461" s="77"/>
    </row>
    <row r="462" ht="12.75" customHeight="1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O462" s="77"/>
      <c r="S462" s="77"/>
      <c r="T462" s="77"/>
    </row>
    <row r="463" ht="12.75" customHeight="1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O463" s="77"/>
      <c r="S463" s="77"/>
      <c r="T463" s="77"/>
    </row>
    <row r="464" ht="12.75" customHeight="1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O464" s="77"/>
      <c r="S464" s="77"/>
      <c r="T464" s="77"/>
    </row>
    <row r="465" ht="12.75" customHeight="1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O465" s="77"/>
      <c r="S465" s="77"/>
      <c r="T465" s="77"/>
    </row>
    <row r="466" ht="12.75" customHeight="1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O466" s="77"/>
      <c r="S466" s="77"/>
      <c r="T466" s="77"/>
    </row>
    <row r="467" ht="12.75" customHeight="1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O467" s="77"/>
      <c r="S467" s="77"/>
      <c r="T467" s="77"/>
    </row>
    <row r="468" ht="12.75" customHeight="1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O468" s="77"/>
      <c r="S468" s="77"/>
      <c r="T468" s="77"/>
    </row>
    <row r="469" ht="12.75" customHeight="1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O469" s="77"/>
      <c r="S469" s="77"/>
      <c r="T469" s="77"/>
    </row>
    <row r="470" ht="12.75" customHeight="1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O470" s="77"/>
      <c r="S470" s="77"/>
      <c r="T470" s="77"/>
    </row>
    <row r="471" ht="12.75" customHeight="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O471" s="77"/>
      <c r="S471" s="77"/>
      <c r="T471" s="77"/>
    </row>
    <row r="472" ht="12.75" customHeight="1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O472" s="77"/>
      <c r="S472" s="77"/>
      <c r="T472" s="77"/>
    </row>
    <row r="473" ht="12.75" customHeight="1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O473" s="77"/>
      <c r="S473" s="77"/>
      <c r="T473" s="77"/>
    </row>
    <row r="474" ht="12.75" customHeight="1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O474" s="77"/>
      <c r="S474" s="77"/>
      <c r="T474" s="77"/>
    </row>
    <row r="475" ht="12.75" customHeight="1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O475" s="77"/>
      <c r="S475" s="77"/>
      <c r="T475" s="77"/>
    </row>
    <row r="476" ht="12.75" customHeight="1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O476" s="77"/>
      <c r="S476" s="77"/>
      <c r="T476" s="77"/>
    </row>
    <row r="477" ht="12.75" customHeight="1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O477" s="77"/>
      <c r="S477" s="77"/>
      <c r="T477" s="77"/>
    </row>
    <row r="478" ht="12.75" customHeight="1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O478" s="77"/>
      <c r="S478" s="77"/>
      <c r="T478" s="77"/>
    </row>
    <row r="479" ht="12.75" customHeight="1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O479" s="77"/>
      <c r="S479" s="77"/>
      <c r="T479" s="77"/>
    </row>
    <row r="480" ht="12.75" customHeight="1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O480" s="77"/>
      <c r="S480" s="77"/>
      <c r="T480" s="77"/>
    </row>
    <row r="481" ht="12.75" customHeight="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O481" s="77"/>
      <c r="S481" s="77"/>
      <c r="T481" s="77"/>
    </row>
    <row r="482" ht="12.75" customHeight="1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O482" s="77"/>
      <c r="S482" s="77"/>
      <c r="T482" s="77"/>
    </row>
    <row r="483" ht="12.75" customHeight="1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O483" s="77"/>
      <c r="S483" s="77"/>
      <c r="T483" s="77"/>
    </row>
    <row r="484" ht="12.75" customHeight="1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O484" s="77"/>
      <c r="S484" s="77"/>
      <c r="T484" s="77"/>
    </row>
    <row r="485" ht="12.75" customHeight="1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O485" s="77"/>
      <c r="S485" s="77"/>
      <c r="T485" s="77"/>
    </row>
    <row r="486" ht="12.75" customHeight="1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O486" s="77"/>
      <c r="S486" s="77"/>
      <c r="T486" s="77"/>
    </row>
    <row r="487" ht="12.75" customHeight="1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O487" s="77"/>
      <c r="S487" s="77"/>
      <c r="T487" s="77"/>
    </row>
    <row r="488" ht="12.75" customHeight="1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O488" s="77"/>
      <c r="S488" s="77"/>
      <c r="T488" s="77"/>
    </row>
    <row r="489" ht="12.75" customHeight="1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O489" s="77"/>
      <c r="S489" s="77"/>
      <c r="T489" s="77"/>
    </row>
    <row r="490" ht="12.75" customHeight="1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O490" s="77"/>
      <c r="S490" s="77"/>
      <c r="T490" s="77"/>
    </row>
    <row r="491" ht="12.75" customHeight="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O491" s="77"/>
      <c r="S491" s="77"/>
      <c r="T491" s="77"/>
    </row>
    <row r="492" ht="12.75" customHeight="1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O492" s="77"/>
      <c r="S492" s="77"/>
      <c r="T492" s="77"/>
    </row>
    <row r="493" ht="12.75" customHeight="1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O493" s="77"/>
      <c r="S493" s="77"/>
      <c r="T493" s="77"/>
    </row>
    <row r="494" ht="12.75" customHeight="1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O494" s="77"/>
      <c r="S494" s="77"/>
      <c r="T494" s="77"/>
    </row>
    <row r="495" ht="12.75" customHeight="1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O495" s="77"/>
      <c r="S495" s="77"/>
      <c r="T495" s="77"/>
    </row>
    <row r="496" ht="12.75" customHeight="1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O496" s="77"/>
      <c r="S496" s="77"/>
      <c r="T496" s="77"/>
    </row>
    <row r="497" ht="12.75" customHeight="1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O497" s="77"/>
      <c r="S497" s="77"/>
      <c r="T497" s="77"/>
    </row>
    <row r="498" ht="12.75" customHeight="1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O498" s="77"/>
      <c r="S498" s="77"/>
      <c r="T498" s="77"/>
    </row>
    <row r="499" ht="12.75" customHeight="1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O499" s="77"/>
      <c r="S499" s="77"/>
      <c r="T499" s="77"/>
    </row>
    <row r="500" ht="12.75" customHeight="1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O500" s="77"/>
      <c r="S500" s="77"/>
      <c r="T500" s="77"/>
    </row>
    <row r="501" ht="12.75" customHeight="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O501" s="77"/>
      <c r="S501" s="77"/>
      <c r="T501" s="77"/>
    </row>
    <row r="502" ht="12.75" customHeight="1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O502" s="77"/>
      <c r="S502" s="77"/>
      <c r="T502" s="77"/>
    </row>
    <row r="503" ht="12.75" customHeight="1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O503" s="77"/>
      <c r="S503" s="77"/>
      <c r="T503" s="77"/>
    </row>
    <row r="504" ht="12.75" customHeight="1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O504" s="77"/>
      <c r="S504" s="77"/>
      <c r="T504" s="77"/>
    </row>
    <row r="505" ht="12.75" customHeight="1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O505" s="77"/>
      <c r="S505" s="77"/>
      <c r="T505" s="77"/>
    </row>
    <row r="506" ht="12.75" customHeight="1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O506" s="77"/>
      <c r="S506" s="77"/>
      <c r="T506" s="77"/>
    </row>
    <row r="507" ht="12.75" customHeight="1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O507" s="77"/>
      <c r="S507" s="77"/>
      <c r="T507" s="77"/>
    </row>
    <row r="508" ht="12.75" customHeight="1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O508" s="77"/>
      <c r="S508" s="77"/>
      <c r="T508" s="77"/>
    </row>
    <row r="509" ht="12.75" customHeight="1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O509" s="77"/>
      <c r="S509" s="77"/>
      <c r="T509" s="77"/>
    </row>
    <row r="510" ht="12.75" customHeight="1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O510" s="77"/>
      <c r="S510" s="77"/>
      <c r="T510" s="77"/>
    </row>
    <row r="511" ht="12.75" customHeight="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O511" s="77"/>
      <c r="S511" s="77"/>
      <c r="T511" s="77"/>
    </row>
    <row r="512" ht="12.75" customHeight="1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O512" s="77"/>
      <c r="S512" s="77"/>
      <c r="T512" s="77"/>
    </row>
    <row r="513" ht="12.75" customHeight="1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O513" s="77"/>
      <c r="S513" s="77"/>
      <c r="T513" s="77"/>
    </row>
    <row r="514" ht="12.75" customHeight="1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O514" s="77"/>
      <c r="S514" s="77"/>
      <c r="T514" s="77"/>
    </row>
    <row r="515" ht="12.75" customHeight="1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O515" s="77"/>
      <c r="S515" s="77"/>
      <c r="T515" s="77"/>
    </row>
    <row r="516" ht="12.75" customHeight="1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O516" s="77"/>
      <c r="S516" s="77"/>
      <c r="T516" s="77"/>
    </row>
    <row r="517" ht="12.75" customHeight="1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O517" s="77"/>
      <c r="S517" s="77"/>
      <c r="T517" s="77"/>
    </row>
    <row r="518" ht="12.75" customHeight="1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O518" s="77"/>
      <c r="S518" s="77"/>
      <c r="T518" s="77"/>
    </row>
    <row r="519" ht="12.75" customHeight="1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O519" s="77"/>
      <c r="S519" s="77"/>
      <c r="T519" s="77"/>
    </row>
    <row r="520" ht="12.75" customHeight="1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O520" s="77"/>
      <c r="S520" s="77"/>
      <c r="T520" s="77"/>
    </row>
    <row r="521" ht="12.75" customHeight="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O521" s="77"/>
      <c r="S521" s="77"/>
      <c r="T521" s="77"/>
    </row>
    <row r="522" ht="12.75" customHeight="1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O522" s="77"/>
      <c r="S522" s="77"/>
      <c r="T522" s="77"/>
    </row>
    <row r="523" ht="12.75" customHeight="1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O523" s="77"/>
      <c r="S523" s="77"/>
      <c r="T523" s="77"/>
    </row>
    <row r="524" ht="12.75" customHeight="1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O524" s="77"/>
      <c r="S524" s="77"/>
      <c r="T524" s="77"/>
    </row>
    <row r="525" ht="12.75" customHeight="1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O525" s="77"/>
      <c r="S525" s="77"/>
      <c r="T525" s="77"/>
    </row>
    <row r="526" ht="12.75" customHeight="1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O526" s="77"/>
      <c r="S526" s="77"/>
      <c r="T526" s="77"/>
    </row>
    <row r="527" ht="12.75" customHeight="1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O527" s="77"/>
      <c r="S527" s="77"/>
      <c r="T527" s="77"/>
    </row>
    <row r="528" ht="12.75" customHeight="1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O528" s="77"/>
      <c r="S528" s="77"/>
      <c r="T528" s="77"/>
    </row>
    <row r="529" ht="12.75" customHeight="1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O529" s="77"/>
      <c r="S529" s="77"/>
      <c r="T529" s="77"/>
    </row>
    <row r="530" ht="12.75" customHeight="1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O530" s="77"/>
      <c r="S530" s="77"/>
      <c r="T530" s="77"/>
    </row>
    <row r="531" ht="12.75" customHeight="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O531" s="77"/>
      <c r="S531" s="77"/>
      <c r="T531" s="77"/>
    </row>
    <row r="532" ht="12.75" customHeight="1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O532" s="77"/>
      <c r="S532" s="77"/>
      <c r="T532" s="77"/>
    </row>
    <row r="533" ht="12.75" customHeight="1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O533" s="77"/>
      <c r="S533" s="77"/>
      <c r="T533" s="77"/>
    </row>
    <row r="534" ht="12.75" customHeight="1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O534" s="77"/>
      <c r="S534" s="77"/>
      <c r="T534" s="77"/>
    </row>
    <row r="535" ht="12.75" customHeight="1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O535" s="77"/>
      <c r="S535" s="77"/>
      <c r="T535" s="77"/>
    </row>
    <row r="536" ht="12.75" customHeight="1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O536" s="77"/>
      <c r="S536" s="77"/>
      <c r="T536" s="77"/>
    </row>
    <row r="537" ht="12.75" customHeight="1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O537" s="77"/>
      <c r="S537" s="77"/>
      <c r="T537" s="77"/>
    </row>
    <row r="538" ht="12.75" customHeight="1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O538" s="77"/>
      <c r="S538" s="77"/>
      <c r="T538" s="77"/>
    </row>
    <row r="539" ht="12.75" customHeight="1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O539" s="77"/>
      <c r="S539" s="77"/>
      <c r="T539" s="77"/>
    </row>
    <row r="540" ht="12.75" customHeight="1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O540" s="77"/>
      <c r="S540" s="77"/>
      <c r="T540" s="77"/>
    </row>
    <row r="541" ht="12.75" customHeight="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O541" s="77"/>
      <c r="S541" s="77"/>
      <c r="T541" s="77"/>
    </row>
    <row r="542" ht="12.75" customHeight="1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O542" s="77"/>
      <c r="S542" s="77"/>
      <c r="T542" s="77"/>
    </row>
    <row r="543" ht="12.75" customHeight="1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O543" s="77"/>
      <c r="S543" s="77"/>
      <c r="T543" s="77"/>
    </row>
    <row r="544" ht="12.75" customHeight="1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O544" s="77"/>
      <c r="S544" s="77"/>
      <c r="T544" s="77"/>
    </row>
    <row r="545" ht="12.75" customHeight="1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O545" s="77"/>
      <c r="S545" s="77"/>
      <c r="T545" s="77"/>
    </row>
    <row r="546" ht="12.75" customHeight="1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O546" s="77"/>
      <c r="S546" s="77"/>
      <c r="T546" s="77"/>
    </row>
    <row r="547" ht="12.75" customHeight="1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O547" s="77"/>
      <c r="S547" s="77"/>
      <c r="T547" s="77"/>
    </row>
    <row r="548" ht="12.75" customHeight="1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O548" s="77"/>
      <c r="S548" s="77"/>
      <c r="T548" s="77"/>
    </row>
    <row r="549" ht="12.75" customHeight="1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O549" s="77"/>
      <c r="S549" s="77"/>
      <c r="T549" s="77"/>
    </row>
    <row r="550" ht="12.75" customHeight="1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O550" s="77"/>
      <c r="S550" s="77"/>
      <c r="T550" s="77"/>
    </row>
    <row r="551" ht="12.75" customHeight="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O551" s="77"/>
      <c r="S551" s="77"/>
      <c r="T551" s="77"/>
    </row>
    <row r="552" ht="12.75" customHeight="1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O552" s="77"/>
      <c r="S552" s="77"/>
      <c r="T552" s="77"/>
    </row>
    <row r="553" ht="12.75" customHeight="1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O553" s="77"/>
      <c r="S553" s="77"/>
      <c r="T553" s="77"/>
    </row>
    <row r="554" ht="12.75" customHeight="1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O554" s="77"/>
      <c r="S554" s="77"/>
      <c r="T554" s="77"/>
    </row>
    <row r="555" ht="12.75" customHeight="1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O555" s="77"/>
      <c r="S555" s="77"/>
      <c r="T555" s="77"/>
    </row>
    <row r="556" ht="12.75" customHeight="1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O556" s="77"/>
      <c r="S556" s="77"/>
      <c r="T556" s="77"/>
    </row>
    <row r="557" ht="12.75" customHeight="1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O557" s="77"/>
      <c r="S557" s="77"/>
      <c r="T557" s="77"/>
    </row>
    <row r="558" ht="12.75" customHeight="1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O558" s="77"/>
      <c r="S558" s="77"/>
      <c r="T558" s="77"/>
    </row>
    <row r="559" ht="12.75" customHeight="1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O559" s="77"/>
      <c r="S559" s="77"/>
      <c r="T559" s="77"/>
    </row>
    <row r="560" ht="12.75" customHeight="1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O560" s="77"/>
      <c r="S560" s="77"/>
      <c r="T560" s="77"/>
    </row>
    <row r="561" ht="12.75" customHeight="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O561" s="77"/>
      <c r="S561" s="77"/>
      <c r="T561" s="77"/>
    </row>
    <row r="562" ht="12.75" customHeight="1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O562" s="77"/>
      <c r="S562" s="77"/>
      <c r="T562" s="77"/>
    </row>
    <row r="563" ht="12.75" customHeight="1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O563" s="77"/>
      <c r="S563" s="77"/>
      <c r="T563" s="77"/>
    </row>
    <row r="564" ht="12.75" customHeight="1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O564" s="77"/>
      <c r="S564" s="77"/>
      <c r="T564" s="77"/>
    </row>
    <row r="565" ht="12.75" customHeight="1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O565" s="77"/>
      <c r="S565" s="77"/>
      <c r="T565" s="77"/>
    </row>
    <row r="566" ht="12.75" customHeight="1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O566" s="77"/>
      <c r="S566" s="77"/>
      <c r="T566" s="77"/>
    </row>
    <row r="567" ht="12.75" customHeight="1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O567" s="77"/>
      <c r="S567" s="77"/>
      <c r="T567" s="77"/>
    </row>
    <row r="568" ht="12.75" customHeight="1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O568" s="77"/>
      <c r="S568" s="77"/>
      <c r="T568" s="77"/>
    </row>
    <row r="569" ht="12.75" customHeight="1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O569" s="77"/>
      <c r="S569" s="77"/>
      <c r="T569" s="77"/>
    </row>
    <row r="570" ht="12.75" customHeight="1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O570" s="77"/>
      <c r="S570" s="77"/>
      <c r="T570" s="77"/>
    </row>
    <row r="571" ht="12.75" customHeight="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O571" s="77"/>
      <c r="S571" s="77"/>
      <c r="T571" s="77"/>
    </row>
    <row r="572" ht="12.75" customHeight="1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O572" s="77"/>
      <c r="S572" s="77"/>
      <c r="T572" s="77"/>
    </row>
    <row r="573" ht="12.75" customHeight="1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O573" s="77"/>
      <c r="S573" s="77"/>
      <c r="T573" s="77"/>
    </row>
    <row r="574" ht="12.75" customHeight="1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O574" s="77"/>
      <c r="S574" s="77"/>
      <c r="T574" s="77"/>
    </row>
    <row r="575" ht="12.75" customHeight="1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O575" s="77"/>
      <c r="S575" s="77"/>
      <c r="T575" s="77"/>
    </row>
    <row r="576" ht="12.75" customHeight="1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O576" s="77"/>
      <c r="S576" s="77"/>
      <c r="T576" s="77"/>
    </row>
    <row r="577" ht="12.75" customHeight="1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O577" s="77"/>
      <c r="S577" s="77"/>
      <c r="T577" s="77"/>
    </row>
    <row r="578" ht="12.75" customHeight="1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O578" s="77"/>
      <c r="S578" s="77"/>
      <c r="T578" s="77"/>
    </row>
    <row r="579" ht="12.75" customHeight="1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O579" s="77"/>
      <c r="S579" s="77"/>
      <c r="T579" s="77"/>
    </row>
    <row r="580" ht="12.75" customHeight="1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O580" s="77"/>
      <c r="S580" s="77"/>
      <c r="T580" s="77"/>
    </row>
    <row r="581" ht="12.75" customHeight="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O581" s="77"/>
      <c r="S581" s="77"/>
      <c r="T581" s="77"/>
    </row>
    <row r="582" ht="12.75" customHeight="1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O582" s="77"/>
      <c r="S582" s="77"/>
      <c r="T582" s="77"/>
    </row>
    <row r="583" ht="12.75" customHeight="1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O583" s="77"/>
      <c r="S583" s="77"/>
      <c r="T583" s="77"/>
    </row>
    <row r="584" ht="12.75" customHeight="1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O584" s="77"/>
      <c r="S584" s="77"/>
      <c r="T584" s="77"/>
    </row>
    <row r="585" ht="12.75" customHeight="1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O585" s="77"/>
      <c r="S585" s="77"/>
      <c r="T585" s="77"/>
    </row>
    <row r="586" ht="12.75" customHeight="1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O586" s="77"/>
      <c r="S586" s="77"/>
      <c r="T586" s="77"/>
    </row>
    <row r="587" ht="12.75" customHeight="1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O587" s="77"/>
      <c r="S587" s="77"/>
      <c r="T587" s="77"/>
    </row>
    <row r="588" ht="12.75" customHeight="1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O588" s="77"/>
      <c r="S588" s="77"/>
      <c r="T588" s="77"/>
    </row>
    <row r="589" ht="12.75" customHeight="1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O589" s="77"/>
      <c r="S589" s="77"/>
      <c r="T589" s="77"/>
    </row>
    <row r="590" ht="12.75" customHeight="1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O590" s="77"/>
      <c r="S590" s="77"/>
      <c r="T590" s="77"/>
    </row>
    <row r="591" ht="12.75" customHeight="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O591" s="77"/>
      <c r="S591" s="77"/>
      <c r="T591" s="77"/>
    </row>
    <row r="592" ht="12.75" customHeight="1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O592" s="77"/>
      <c r="S592" s="77"/>
      <c r="T592" s="77"/>
    </row>
    <row r="593" ht="12.75" customHeight="1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O593" s="77"/>
      <c r="S593" s="77"/>
      <c r="T593" s="77"/>
    </row>
    <row r="594" ht="12.75" customHeight="1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O594" s="77"/>
      <c r="S594" s="77"/>
      <c r="T594" s="77"/>
    </row>
    <row r="595" ht="12.75" customHeight="1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O595" s="77"/>
      <c r="S595" s="77"/>
      <c r="T595" s="77"/>
    </row>
    <row r="596" ht="12.75" customHeight="1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O596" s="77"/>
      <c r="S596" s="77"/>
      <c r="T596" s="77"/>
    </row>
    <row r="597" ht="12.75" customHeight="1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O597" s="77"/>
      <c r="S597" s="77"/>
      <c r="T597" s="77"/>
    </row>
    <row r="598" ht="12.75" customHeight="1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O598" s="77"/>
      <c r="S598" s="77"/>
      <c r="T598" s="77"/>
    </row>
    <row r="599" ht="12.75" customHeight="1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O599" s="77"/>
      <c r="S599" s="77"/>
      <c r="T599" s="77"/>
    </row>
    <row r="600" ht="12.75" customHeight="1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O600" s="77"/>
      <c r="S600" s="77"/>
      <c r="T600" s="77"/>
    </row>
    <row r="601" ht="12.75" customHeight="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O601" s="77"/>
      <c r="S601" s="77"/>
      <c r="T601" s="77"/>
    </row>
    <row r="602" ht="12.75" customHeight="1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O602" s="77"/>
      <c r="S602" s="77"/>
      <c r="T602" s="77"/>
    </row>
    <row r="603" ht="12.75" customHeight="1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O603" s="77"/>
      <c r="S603" s="77"/>
      <c r="T603" s="77"/>
    </row>
    <row r="604" ht="12.75" customHeight="1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O604" s="77"/>
      <c r="S604" s="77"/>
      <c r="T604" s="77"/>
    </row>
    <row r="605" ht="12.75" customHeight="1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O605" s="77"/>
      <c r="S605" s="77"/>
      <c r="T605" s="77"/>
    </row>
    <row r="606" ht="12.75" customHeight="1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O606" s="77"/>
      <c r="S606" s="77"/>
      <c r="T606" s="77"/>
    </row>
    <row r="607" ht="12.75" customHeight="1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O607" s="77"/>
      <c r="S607" s="77"/>
      <c r="T607" s="77"/>
    </row>
    <row r="608" ht="12.75" customHeight="1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O608" s="77"/>
      <c r="S608" s="77"/>
      <c r="T608" s="77"/>
    </row>
    <row r="609" ht="12.75" customHeight="1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O609" s="77"/>
      <c r="S609" s="77"/>
      <c r="T609" s="77"/>
    </row>
    <row r="610" ht="12.75" customHeight="1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O610" s="77"/>
      <c r="S610" s="77"/>
      <c r="T610" s="77"/>
    </row>
    <row r="611" ht="12.75" customHeight="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O611" s="77"/>
      <c r="S611" s="77"/>
      <c r="T611" s="77"/>
    </row>
    <row r="612" ht="12.75" customHeight="1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O612" s="77"/>
      <c r="S612" s="77"/>
      <c r="T612" s="77"/>
    </row>
    <row r="613" ht="12.75" customHeight="1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O613" s="77"/>
      <c r="S613" s="77"/>
      <c r="T613" s="77"/>
    </row>
    <row r="614" ht="12.75" customHeight="1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O614" s="77"/>
      <c r="S614" s="77"/>
      <c r="T614" s="77"/>
    </row>
    <row r="615" ht="12.75" customHeight="1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O615" s="77"/>
      <c r="S615" s="77"/>
      <c r="T615" s="77"/>
    </row>
    <row r="616" ht="12.75" customHeight="1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O616" s="77"/>
      <c r="S616" s="77"/>
      <c r="T616" s="77"/>
    </row>
    <row r="617" ht="12.75" customHeight="1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O617" s="77"/>
      <c r="S617" s="77"/>
      <c r="T617" s="77"/>
    </row>
    <row r="618" ht="12.75" customHeight="1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O618" s="77"/>
      <c r="S618" s="77"/>
      <c r="T618" s="77"/>
    </row>
    <row r="619" ht="12.75" customHeight="1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O619" s="77"/>
      <c r="S619" s="77"/>
      <c r="T619" s="77"/>
    </row>
    <row r="620" ht="12.75" customHeight="1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O620" s="77"/>
      <c r="S620" s="77"/>
      <c r="T620" s="77"/>
    </row>
    <row r="621" ht="12.75" customHeight="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O621" s="77"/>
      <c r="S621" s="77"/>
      <c r="T621" s="77"/>
    </row>
    <row r="622" ht="12.75" customHeight="1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O622" s="77"/>
      <c r="S622" s="77"/>
      <c r="T622" s="77"/>
    </row>
    <row r="623" ht="12.75" customHeight="1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O623" s="77"/>
      <c r="S623" s="77"/>
      <c r="T623" s="77"/>
    </row>
    <row r="624" ht="12.75" customHeight="1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O624" s="77"/>
      <c r="S624" s="77"/>
      <c r="T624" s="77"/>
    </row>
    <row r="625" ht="12.75" customHeight="1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O625" s="77"/>
      <c r="S625" s="77"/>
      <c r="T625" s="77"/>
    </row>
    <row r="626" ht="12.75" customHeight="1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O626" s="77"/>
      <c r="S626" s="77"/>
      <c r="T626" s="77"/>
    </row>
    <row r="627" ht="12.75" customHeight="1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O627" s="77"/>
      <c r="S627" s="77"/>
      <c r="T627" s="77"/>
    </row>
    <row r="628" ht="12.75" customHeight="1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O628" s="77"/>
      <c r="S628" s="77"/>
      <c r="T628" s="77"/>
    </row>
    <row r="629" ht="12.75" customHeight="1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O629" s="77"/>
      <c r="S629" s="77"/>
      <c r="T629" s="77"/>
    </row>
    <row r="630" ht="12.75" customHeight="1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O630" s="77"/>
      <c r="S630" s="77"/>
      <c r="T630" s="77"/>
    </row>
    <row r="631" ht="12.75" customHeight="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O631" s="77"/>
      <c r="S631" s="77"/>
      <c r="T631" s="77"/>
    </row>
    <row r="632" ht="12.75" customHeight="1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O632" s="77"/>
      <c r="S632" s="77"/>
      <c r="T632" s="77"/>
    </row>
    <row r="633" ht="12.75" customHeight="1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O633" s="77"/>
      <c r="S633" s="77"/>
      <c r="T633" s="77"/>
    </row>
    <row r="634" ht="12.75" customHeight="1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O634" s="77"/>
      <c r="S634" s="77"/>
      <c r="T634" s="77"/>
    </row>
    <row r="635" ht="12.75" customHeight="1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O635" s="77"/>
      <c r="S635" s="77"/>
      <c r="T635" s="77"/>
    </row>
    <row r="636" ht="12.75" customHeight="1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O636" s="77"/>
      <c r="S636" s="77"/>
      <c r="T636" s="77"/>
    </row>
    <row r="637" ht="12.75" customHeight="1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O637" s="77"/>
      <c r="S637" s="77"/>
      <c r="T637" s="77"/>
    </row>
    <row r="638" ht="12.75" customHeight="1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O638" s="77"/>
      <c r="S638" s="77"/>
      <c r="T638" s="77"/>
    </row>
    <row r="639" ht="12.75" customHeight="1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O639" s="77"/>
      <c r="S639" s="77"/>
      <c r="T639" s="77"/>
    </row>
    <row r="640" ht="12.75" customHeight="1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O640" s="77"/>
      <c r="S640" s="77"/>
      <c r="T640" s="77"/>
    </row>
    <row r="641" ht="12.75" customHeight="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O641" s="77"/>
      <c r="S641" s="77"/>
      <c r="T641" s="77"/>
    </row>
    <row r="642" ht="12.75" customHeight="1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O642" s="77"/>
      <c r="S642" s="77"/>
      <c r="T642" s="77"/>
    </row>
    <row r="643" ht="12.75" customHeight="1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O643" s="77"/>
      <c r="S643" s="77"/>
      <c r="T643" s="77"/>
    </row>
    <row r="644" ht="12.75" customHeight="1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O644" s="77"/>
      <c r="S644" s="77"/>
      <c r="T644" s="77"/>
    </row>
    <row r="645" ht="12.75" customHeight="1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O645" s="77"/>
      <c r="S645" s="77"/>
      <c r="T645" s="77"/>
    </row>
    <row r="646" ht="12.75" customHeight="1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O646" s="77"/>
      <c r="S646" s="77"/>
      <c r="T646" s="77"/>
    </row>
    <row r="647" ht="12.75" customHeight="1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O647" s="77"/>
      <c r="S647" s="77"/>
      <c r="T647" s="77"/>
    </row>
    <row r="648" ht="12.75" customHeight="1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O648" s="77"/>
      <c r="S648" s="77"/>
      <c r="T648" s="77"/>
    </row>
    <row r="649" ht="12.75" customHeight="1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O649" s="77"/>
      <c r="S649" s="77"/>
      <c r="T649" s="77"/>
    </row>
    <row r="650" ht="12.75" customHeight="1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O650" s="77"/>
      <c r="S650" s="77"/>
      <c r="T650" s="77"/>
    </row>
    <row r="651" ht="12.75" customHeight="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O651" s="77"/>
      <c r="S651" s="77"/>
      <c r="T651" s="77"/>
    </row>
    <row r="652" ht="12.75" customHeight="1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O652" s="77"/>
      <c r="S652" s="77"/>
      <c r="T652" s="77"/>
    </row>
    <row r="653" ht="12.75" customHeight="1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O653" s="77"/>
      <c r="S653" s="77"/>
      <c r="T653" s="77"/>
    </row>
    <row r="654" ht="12.75" customHeight="1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O654" s="77"/>
      <c r="S654" s="77"/>
      <c r="T654" s="77"/>
    </row>
    <row r="655" ht="12.75" customHeight="1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O655" s="77"/>
      <c r="S655" s="77"/>
      <c r="T655" s="77"/>
    </row>
    <row r="656" ht="12.75" customHeight="1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O656" s="77"/>
      <c r="S656" s="77"/>
      <c r="T656" s="77"/>
    </row>
    <row r="657" ht="12.75" customHeight="1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O657" s="77"/>
      <c r="S657" s="77"/>
      <c r="T657" s="77"/>
    </row>
    <row r="658" ht="12.75" customHeight="1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O658" s="77"/>
      <c r="S658" s="77"/>
      <c r="T658" s="77"/>
    </row>
    <row r="659" ht="12.75" customHeight="1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O659" s="77"/>
      <c r="S659" s="77"/>
      <c r="T659" s="77"/>
    </row>
    <row r="660" ht="12.75" customHeight="1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O660" s="77"/>
      <c r="S660" s="77"/>
      <c r="T660" s="77"/>
    </row>
    <row r="661" ht="12.75" customHeight="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O661" s="77"/>
      <c r="S661" s="77"/>
      <c r="T661" s="77"/>
    </row>
    <row r="662" ht="12.75" customHeight="1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O662" s="77"/>
      <c r="S662" s="77"/>
      <c r="T662" s="77"/>
    </row>
    <row r="663" ht="12.75" customHeight="1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O663" s="77"/>
      <c r="S663" s="77"/>
      <c r="T663" s="77"/>
    </row>
    <row r="664" ht="12.75" customHeight="1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O664" s="77"/>
      <c r="S664" s="77"/>
      <c r="T664" s="77"/>
    </row>
    <row r="665" ht="12.75" customHeight="1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O665" s="77"/>
      <c r="S665" s="77"/>
      <c r="T665" s="77"/>
    </row>
    <row r="666" ht="12.75" customHeight="1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O666" s="77"/>
      <c r="S666" s="77"/>
      <c r="T666" s="77"/>
    </row>
    <row r="667" ht="12.75" customHeight="1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O667" s="77"/>
      <c r="S667" s="77"/>
      <c r="T667" s="77"/>
    </row>
    <row r="668" ht="12.75" customHeight="1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O668" s="77"/>
      <c r="S668" s="77"/>
      <c r="T668" s="77"/>
    </row>
    <row r="669" ht="12.75" customHeight="1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O669" s="77"/>
      <c r="S669" s="77"/>
      <c r="T669" s="77"/>
    </row>
    <row r="670" ht="12.75" customHeight="1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O670" s="77"/>
      <c r="S670" s="77"/>
      <c r="T670" s="77"/>
    </row>
    <row r="671" ht="12.75" customHeight="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O671" s="77"/>
      <c r="S671" s="77"/>
      <c r="T671" s="77"/>
    </row>
    <row r="672" ht="12.75" customHeight="1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O672" s="77"/>
      <c r="S672" s="77"/>
      <c r="T672" s="77"/>
    </row>
    <row r="673" ht="12.75" customHeight="1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O673" s="77"/>
      <c r="S673" s="77"/>
      <c r="T673" s="77"/>
    </row>
    <row r="674" ht="12.75" customHeight="1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O674" s="77"/>
      <c r="S674" s="77"/>
      <c r="T674" s="77"/>
    </row>
    <row r="675" ht="12.75" customHeight="1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O675" s="77"/>
      <c r="S675" s="77"/>
      <c r="T675" s="77"/>
    </row>
    <row r="676" ht="12.75" customHeight="1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O676" s="77"/>
      <c r="S676" s="77"/>
      <c r="T676" s="77"/>
    </row>
    <row r="677" ht="12.75" customHeight="1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O677" s="77"/>
      <c r="S677" s="77"/>
      <c r="T677" s="77"/>
    </row>
    <row r="678" ht="12.75" customHeight="1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O678" s="77"/>
      <c r="S678" s="77"/>
      <c r="T678" s="77"/>
    </row>
    <row r="679" ht="12.75" customHeight="1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O679" s="77"/>
      <c r="S679" s="77"/>
      <c r="T679" s="77"/>
    </row>
    <row r="680" ht="12.75" customHeight="1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O680" s="77"/>
      <c r="S680" s="77"/>
      <c r="T680" s="77"/>
    </row>
    <row r="681" ht="12.75" customHeight="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O681" s="77"/>
      <c r="S681" s="77"/>
      <c r="T681" s="77"/>
    </row>
    <row r="682" ht="12.75" customHeight="1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O682" s="77"/>
      <c r="S682" s="77"/>
      <c r="T682" s="77"/>
    </row>
    <row r="683" ht="12.75" customHeight="1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O683" s="77"/>
      <c r="S683" s="77"/>
      <c r="T683" s="77"/>
    </row>
    <row r="684" ht="12.75" customHeight="1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O684" s="77"/>
      <c r="S684" s="77"/>
      <c r="T684" s="77"/>
    </row>
    <row r="685" ht="12.75" customHeight="1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O685" s="77"/>
      <c r="S685" s="77"/>
      <c r="T685" s="77"/>
    </row>
    <row r="686" ht="12.75" customHeight="1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O686" s="77"/>
      <c r="S686" s="77"/>
      <c r="T686" s="77"/>
    </row>
    <row r="687" ht="12.75" customHeight="1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O687" s="77"/>
      <c r="S687" s="77"/>
      <c r="T687" s="77"/>
    </row>
    <row r="688" ht="12.75" customHeight="1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O688" s="77"/>
      <c r="S688" s="77"/>
      <c r="T688" s="77"/>
    </row>
    <row r="689" ht="12.75" customHeight="1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O689" s="77"/>
      <c r="S689" s="77"/>
      <c r="T689" s="77"/>
    </row>
    <row r="690" ht="12.75" customHeight="1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O690" s="77"/>
      <c r="S690" s="77"/>
      <c r="T690" s="77"/>
    </row>
    <row r="691" ht="12.75" customHeight="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O691" s="77"/>
      <c r="S691" s="77"/>
      <c r="T691" s="77"/>
    </row>
    <row r="692" ht="12.75" customHeight="1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O692" s="77"/>
      <c r="S692" s="77"/>
      <c r="T692" s="77"/>
    </row>
    <row r="693" ht="12.75" customHeight="1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O693" s="77"/>
      <c r="S693" s="77"/>
      <c r="T693" s="77"/>
    </row>
    <row r="694" ht="12.75" customHeight="1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O694" s="77"/>
      <c r="S694" s="77"/>
      <c r="T694" s="77"/>
    </row>
    <row r="695" ht="12.75" customHeight="1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O695" s="77"/>
      <c r="S695" s="77"/>
      <c r="T695" s="77"/>
    </row>
    <row r="696" ht="12.75" customHeight="1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O696" s="77"/>
      <c r="S696" s="77"/>
      <c r="T696" s="77"/>
    </row>
    <row r="697" ht="12.75" customHeight="1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O697" s="77"/>
      <c r="S697" s="77"/>
      <c r="T697" s="77"/>
    </row>
    <row r="698" ht="12.75" customHeight="1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O698" s="77"/>
      <c r="S698" s="77"/>
      <c r="T698" s="77"/>
    </row>
    <row r="699" ht="12.75" customHeight="1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O699" s="77"/>
      <c r="S699" s="77"/>
      <c r="T699" s="77"/>
    </row>
    <row r="700" ht="12.75" customHeight="1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O700" s="77"/>
      <c r="S700" s="77"/>
      <c r="T700" s="77"/>
    </row>
    <row r="701" ht="12.75" customHeight="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O701" s="77"/>
      <c r="S701" s="77"/>
      <c r="T701" s="77"/>
    </row>
    <row r="702" ht="12.75" customHeight="1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O702" s="77"/>
      <c r="S702" s="77"/>
      <c r="T702" s="77"/>
    </row>
    <row r="703" ht="12.75" customHeight="1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O703" s="77"/>
      <c r="S703" s="77"/>
      <c r="T703" s="77"/>
    </row>
    <row r="704" ht="12.75" customHeight="1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O704" s="77"/>
      <c r="S704" s="77"/>
      <c r="T704" s="77"/>
    </row>
    <row r="705" ht="12.75" customHeight="1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O705" s="77"/>
      <c r="S705" s="77"/>
      <c r="T705" s="77"/>
    </row>
    <row r="706" ht="12.75" customHeight="1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O706" s="77"/>
      <c r="S706" s="77"/>
      <c r="T706" s="77"/>
    </row>
    <row r="707" ht="12.75" customHeight="1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O707" s="77"/>
      <c r="S707" s="77"/>
      <c r="T707" s="77"/>
    </row>
    <row r="708" ht="12.75" customHeight="1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O708" s="77"/>
      <c r="S708" s="77"/>
      <c r="T708" s="77"/>
    </row>
    <row r="709" ht="12.75" customHeight="1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O709" s="77"/>
      <c r="S709" s="77"/>
      <c r="T709" s="77"/>
    </row>
    <row r="710" ht="12.75" customHeight="1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O710" s="77"/>
      <c r="S710" s="77"/>
      <c r="T710" s="77"/>
    </row>
    <row r="711" ht="12.75" customHeight="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O711" s="77"/>
      <c r="S711" s="77"/>
      <c r="T711" s="77"/>
    </row>
    <row r="712" ht="12.75" customHeight="1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O712" s="77"/>
      <c r="S712" s="77"/>
      <c r="T712" s="77"/>
    </row>
    <row r="713" ht="12.75" customHeight="1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O713" s="77"/>
      <c r="S713" s="77"/>
      <c r="T713" s="77"/>
    </row>
    <row r="714" ht="12.75" customHeight="1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O714" s="77"/>
      <c r="S714" s="77"/>
      <c r="T714" s="77"/>
    </row>
    <row r="715" ht="12.75" customHeight="1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O715" s="77"/>
      <c r="S715" s="77"/>
      <c r="T715" s="77"/>
    </row>
    <row r="716" ht="12.75" customHeight="1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O716" s="77"/>
      <c r="S716" s="77"/>
      <c r="T716" s="77"/>
    </row>
    <row r="717" ht="12.75" customHeight="1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O717" s="77"/>
      <c r="S717" s="77"/>
      <c r="T717" s="77"/>
    </row>
    <row r="718" ht="12.75" customHeight="1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O718" s="77"/>
      <c r="S718" s="77"/>
      <c r="T718" s="77"/>
    </row>
    <row r="719" ht="12.75" customHeight="1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O719" s="77"/>
      <c r="S719" s="77"/>
      <c r="T719" s="77"/>
    </row>
    <row r="720" ht="12.75" customHeight="1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O720" s="77"/>
      <c r="S720" s="77"/>
      <c r="T720" s="77"/>
    </row>
    <row r="721" ht="12.75" customHeight="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O721" s="77"/>
      <c r="S721" s="77"/>
      <c r="T721" s="77"/>
    </row>
    <row r="722" ht="12.75" customHeight="1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O722" s="77"/>
      <c r="S722" s="77"/>
      <c r="T722" s="77"/>
    </row>
    <row r="723" ht="12.75" customHeight="1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O723" s="77"/>
      <c r="S723" s="77"/>
      <c r="T723" s="77"/>
    </row>
    <row r="724" ht="12.75" customHeight="1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O724" s="77"/>
      <c r="S724" s="77"/>
      <c r="T724" s="77"/>
    </row>
    <row r="725" ht="12.75" customHeight="1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O725" s="77"/>
      <c r="S725" s="77"/>
      <c r="T725" s="77"/>
    </row>
    <row r="726" ht="12.75" customHeight="1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O726" s="77"/>
      <c r="S726" s="77"/>
      <c r="T726" s="77"/>
    </row>
    <row r="727" ht="12.75" customHeight="1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O727" s="77"/>
      <c r="S727" s="77"/>
      <c r="T727" s="77"/>
    </row>
    <row r="728" ht="12.75" customHeight="1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O728" s="77"/>
      <c r="S728" s="77"/>
      <c r="T728" s="77"/>
    </row>
    <row r="729" ht="12.75" customHeight="1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O729" s="77"/>
      <c r="S729" s="77"/>
      <c r="T729" s="77"/>
    </row>
    <row r="730" ht="12.75" customHeight="1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O730" s="77"/>
      <c r="S730" s="77"/>
      <c r="T730" s="77"/>
    </row>
    <row r="731" ht="12.75" customHeight="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O731" s="77"/>
      <c r="S731" s="77"/>
      <c r="T731" s="77"/>
    </row>
    <row r="732" ht="12.75" customHeight="1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O732" s="77"/>
      <c r="S732" s="77"/>
      <c r="T732" s="77"/>
    </row>
    <row r="733" ht="12.75" customHeight="1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O733" s="77"/>
      <c r="S733" s="77"/>
      <c r="T733" s="77"/>
    </row>
    <row r="734" ht="12.75" customHeight="1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O734" s="77"/>
      <c r="S734" s="77"/>
      <c r="T734" s="77"/>
    </row>
    <row r="735" ht="12.75" customHeight="1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O735" s="77"/>
      <c r="S735" s="77"/>
      <c r="T735" s="77"/>
    </row>
    <row r="736" ht="12.75" customHeight="1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O736" s="77"/>
      <c r="S736" s="77"/>
      <c r="T736" s="77"/>
    </row>
    <row r="737" ht="12.75" customHeight="1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O737" s="77"/>
      <c r="S737" s="77"/>
      <c r="T737" s="77"/>
    </row>
    <row r="738" ht="12.75" customHeight="1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O738" s="77"/>
      <c r="S738" s="77"/>
      <c r="T738" s="77"/>
    </row>
    <row r="739" ht="12.75" customHeight="1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O739" s="77"/>
      <c r="S739" s="77"/>
      <c r="T739" s="77"/>
    </row>
    <row r="740" ht="12.75" customHeight="1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O740" s="77"/>
      <c r="S740" s="77"/>
      <c r="T740" s="77"/>
    </row>
    <row r="741" ht="12.75" customHeight="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O741" s="77"/>
      <c r="S741" s="77"/>
      <c r="T741" s="77"/>
    </row>
    <row r="742" ht="12.75" customHeight="1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O742" s="77"/>
      <c r="S742" s="77"/>
      <c r="T742" s="77"/>
    </row>
    <row r="743" ht="12.75" customHeight="1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O743" s="77"/>
      <c r="S743" s="77"/>
      <c r="T743" s="77"/>
    </row>
    <row r="744" ht="12.75" customHeight="1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O744" s="77"/>
      <c r="S744" s="77"/>
      <c r="T744" s="77"/>
    </row>
    <row r="745" ht="12.75" customHeight="1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O745" s="77"/>
      <c r="S745" s="77"/>
      <c r="T745" s="77"/>
    </row>
    <row r="746" ht="12.75" customHeight="1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O746" s="77"/>
      <c r="S746" s="77"/>
      <c r="T746" s="77"/>
    </row>
    <row r="747" ht="12.75" customHeight="1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O747" s="77"/>
      <c r="S747" s="77"/>
      <c r="T747" s="77"/>
    </row>
    <row r="748" ht="12.75" customHeight="1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O748" s="77"/>
      <c r="S748" s="77"/>
      <c r="T748" s="77"/>
    </row>
    <row r="749" ht="12.75" customHeight="1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O749" s="77"/>
      <c r="S749" s="77"/>
      <c r="T749" s="77"/>
    </row>
    <row r="750" ht="12.75" customHeight="1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O750" s="77"/>
      <c r="S750" s="77"/>
      <c r="T750" s="77"/>
    </row>
    <row r="751" ht="12.75" customHeight="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O751" s="77"/>
      <c r="S751" s="77"/>
      <c r="T751" s="77"/>
    </row>
    <row r="752" ht="12.75" customHeight="1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O752" s="77"/>
      <c r="S752" s="77"/>
      <c r="T752" s="77"/>
    </row>
    <row r="753" ht="12.75" customHeight="1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O753" s="77"/>
      <c r="S753" s="77"/>
      <c r="T753" s="77"/>
    </row>
    <row r="754" ht="12.75" customHeight="1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O754" s="77"/>
      <c r="S754" s="77"/>
      <c r="T754" s="77"/>
    </row>
    <row r="755" ht="12.75" customHeight="1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O755" s="77"/>
      <c r="S755" s="77"/>
      <c r="T755" s="77"/>
    </row>
    <row r="756" ht="12.75" customHeight="1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O756" s="77"/>
      <c r="S756" s="77"/>
      <c r="T756" s="77"/>
    </row>
    <row r="757" ht="12.75" customHeight="1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O757" s="77"/>
      <c r="S757" s="77"/>
      <c r="T757" s="77"/>
    </row>
    <row r="758" ht="12.75" customHeight="1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O758" s="77"/>
      <c r="S758" s="77"/>
      <c r="T758" s="77"/>
    </row>
    <row r="759" ht="12.75" customHeight="1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O759" s="77"/>
      <c r="S759" s="77"/>
      <c r="T759" s="77"/>
    </row>
    <row r="760" ht="12.75" customHeight="1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O760" s="77"/>
      <c r="S760" s="77"/>
      <c r="T760" s="77"/>
    </row>
    <row r="761" ht="12.75" customHeight="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O761" s="77"/>
      <c r="S761" s="77"/>
      <c r="T761" s="77"/>
    </row>
    <row r="762" ht="12.75" customHeight="1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O762" s="77"/>
      <c r="S762" s="77"/>
      <c r="T762" s="77"/>
    </row>
    <row r="763" ht="12.75" customHeight="1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O763" s="77"/>
      <c r="S763" s="77"/>
      <c r="T763" s="77"/>
    </row>
    <row r="764" ht="12.75" customHeight="1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O764" s="77"/>
      <c r="S764" s="77"/>
      <c r="T764" s="77"/>
    </row>
    <row r="765" ht="12.75" customHeight="1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O765" s="77"/>
      <c r="S765" s="77"/>
      <c r="T765" s="77"/>
    </row>
    <row r="766" ht="12.75" customHeight="1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O766" s="77"/>
      <c r="S766" s="77"/>
      <c r="T766" s="77"/>
    </row>
    <row r="767" ht="12.75" customHeight="1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O767" s="77"/>
      <c r="S767" s="77"/>
      <c r="T767" s="77"/>
    </row>
    <row r="768" ht="12.75" customHeight="1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O768" s="77"/>
      <c r="S768" s="77"/>
      <c r="T768" s="77"/>
    </row>
    <row r="769" ht="12.75" customHeight="1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O769" s="77"/>
      <c r="S769" s="77"/>
      <c r="T769" s="77"/>
    </row>
    <row r="770" ht="12.75" customHeight="1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O770" s="77"/>
      <c r="S770" s="77"/>
      <c r="T770" s="77"/>
    </row>
    <row r="771" ht="12.75" customHeight="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O771" s="77"/>
      <c r="S771" s="77"/>
      <c r="T771" s="77"/>
    </row>
    <row r="772" ht="12.75" customHeight="1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O772" s="77"/>
      <c r="S772" s="77"/>
      <c r="T772" s="77"/>
    </row>
    <row r="773" ht="12.75" customHeight="1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O773" s="77"/>
      <c r="S773" s="77"/>
      <c r="T773" s="77"/>
    </row>
    <row r="774" ht="12.75" customHeight="1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O774" s="77"/>
      <c r="S774" s="77"/>
      <c r="T774" s="77"/>
    </row>
    <row r="775" ht="12.75" customHeight="1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O775" s="77"/>
      <c r="S775" s="77"/>
      <c r="T775" s="77"/>
    </row>
    <row r="776" ht="12.75" customHeight="1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O776" s="77"/>
      <c r="S776" s="77"/>
      <c r="T776" s="77"/>
    </row>
    <row r="777" ht="12.75" customHeight="1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O777" s="77"/>
      <c r="S777" s="77"/>
      <c r="T777" s="77"/>
    </row>
    <row r="778" ht="12.75" customHeight="1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O778" s="77"/>
      <c r="S778" s="77"/>
      <c r="T778" s="77"/>
    </row>
    <row r="779" ht="12.75" customHeight="1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O779" s="77"/>
      <c r="S779" s="77"/>
      <c r="T779" s="77"/>
    </row>
    <row r="780" ht="12.75" customHeight="1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O780" s="77"/>
      <c r="S780" s="77"/>
      <c r="T780" s="77"/>
    </row>
    <row r="781" ht="12.75" customHeight="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O781" s="77"/>
      <c r="S781" s="77"/>
      <c r="T781" s="77"/>
    </row>
    <row r="782" ht="12.75" customHeight="1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O782" s="77"/>
      <c r="S782" s="77"/>
      <c r="T782" s="77"/>
    </row>
    <row r="783" ht="12.75" customHeight="1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O783" s="77"/>
      <c r="S783" s="77"/>
      <c r="T783" s="77"/>
    </row>
    <row r="784" ht="12.75" customHeight="1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O784" s="77"/>
      <c r="S784" s="77"/>
      <c r="T784" s="77"/>
    </row>
    <row r="785" ht="12.75" customHeight="1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O785" s="77"/>
      <c r="S785" s="77"/>
      <c r="T785" s="77"/>
    </row>
    <row r="786" ht="12.75" customHeight="1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O786" s="77"/>
      <c r="S786" s="77"/>
      <c r="T786" s="77"/>
    </row>
    <row r="787" ht="12.75" customHeight="1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O787" s="77"/>
      <c r="S787" s="77"/>
      <c r="T787" s="77"/>
    </row>
    <row r="788" ht="12.75" customHeight="1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O788" s="77"/>
      <c r="S788" s="77"/>
      <c r="T788" s="77"/>
    </row>
    <row r="789" ht="12.75" customHeight="1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O789" s="77"/>
      <c r="S789" s="77"/>
      <c r="T789" s="77"/>
    </row>
    <row r="790" ht="12.75" customHeight="1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O790" s="77"/>
      <c r="S790" s="77"/>
      <c r="T790" s="77"/>
    </row>
    <row r="791" ht="12.75" customHeight="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O791" s="77"/>
      <c r="S791" s="77"/>
      <c r="T791" s="77"/>
    </row>
    <row r="792" ht="12.75" customHeight="1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O792" s="77"/>
      <c r="S792" s="77"/>
      <c r="T792" s="77"/>
    </row>
    <row r="793" ht="12.75" customHeight="1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O793" s="77"/>
      <c r="S793" s="77"/>
      <c r="T793" s="77"/>
    </row>
    <row r="794" ht="12.75" customHeight="1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O794" s="77"/>
      <c r="S794" s="77"/>
      <c r="T794" s="77"/>
    </row>
    <row r="795" ht="12.75" customHeight="1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O795" s="77"/>
      <c r="S795" s="77"/>
      <c r="T795" s="77"/>
    </row>
    <row r="796" ht="12.75" customHeight="1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O796" s="77"/>
      <c r="S796" s="77"/>
      <c r="T796" s="77"/>
    </row>
    <row r="797" ht="12.75" customHeight="1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O797" s="77"/>
      <c r="S797" s="77"/>
      <c r="T797" s="77"/>
    </row>
    <row r="798" ht="12.75" customHeight="1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O798" s="77"/>
      <c r="S798" s="77"/>
      <c r="T798" s="77"/>
    </row>
    <row r="799" ht="12.75" customHeight="1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O799" s="77"/>
      <c r="S799" s="77"/>
      <c r="T799" s="77"/>
    </row>
    <row r="800" ht="12.75" customHeight="1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O800" s="77"/>
      <c r="S800" s="77"/>
      <c r="T800" s="77"/>
    </row>
    <row r="801" ht="12.75" customHeight="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O801" s="77"/>
      <c r="S801" s="77"/>
      <c r="T801" s="77"/>
    </row>
    <row r="802" ht="12.75" customHeight="1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O802" s="77"/>
      <c r="S802" s="77"/>
      <c r="T802" s="77"/>
    </row>
    <row r="803" ht="12.75" customHeight="1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O803" s="77"/>
      <c r="S803" s="77"/>
      <c r="T803" s="77"/>
    </row>
    <row r="804" ht="12.75" customHeight="1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O804" s="77"/>
      <c r="S804" s="77"/>
      <c r="T804" s="77"/>
    </row>
    <row r="805" ht="12.75" customHeight="1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O805" s="77"/>
      <c r="S805" s="77"/>
      <c r="T805" s="77"/>
    </row>
    <row r="806" ht="12.75" customHeight="1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O806" s="77"/>
      <c r="S806" s="77"/>
      <c r="T806" s="77"/>
    </row>
    <row r="807" ht="12.75" customHeight="1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O807" s="77"/>
      <c r="S807" s="77"/>
      <c r="T807" s="77"/>
    </row>
    <row r="808" ht="12.75" customHeight="1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O808" s="77"/>
      <c r="S808" s="77"/>
      <c r="T808" s="77"/>
    </row>
    <row r="809" ht="12.75" customHeight="1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O809" s="77"/>
      <c r="S809" s="77"/>
      <c r="T809" s="77"/>
    </row>
    <row r="810" ht="12.75" customHeight="1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O810" s="77"/>
      <c r="S810" s="77"/>
      <c r="T810" s="77"/>
    </row>
    <row r="811" ht="12.75" customHeight="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O811" s="77"/>
      <c r="S811" s="77"/>
      <c r="T811" s="77"/>
    </row>
    <row r="812" ht="12.75" customHeight="1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O812" s="77"/>
      <c r="S812" s="77"/>
      <c r="T812" s="77"/>
    </row>
    <row r="813" ht="12.75" customHeight="1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O813" s="77"/>
      <c r="S813" s="77"/>
      <c r="T813" s="77"/>
    </row>
    <row r="814" ht="12.75" customHeight="1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O814" s="77"/>
      <c r="S814" s="77"/>
      <c r="T814" s="77"/>
    </row>
    <row r="815" ht="12.75" customHeight="1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O815" s="77"/>
      <c r="S815" s="77"/>
      <c r="T815" s="77"/>
    </row>
    <row r="816" ht="12.75" customHeight="1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O816" s="77"/>
      <c r="S816" s="77"/>
      <c r="T816" s="77"/>
    </row>
    <row r="817" ht="12.75" customHeight="1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O817" s="77"/>
      <c r="S817" s="77"/>
      <c r="T817" s="77"/>
    </row>
    <row r="818" ht="12.75" customHeight="1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O818" s="77"/>
      <c r="S818" s="77"/>
      <c r="T818" s="77"/>
    </row>
    <row r="819" ht="12.75" customHeight="1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O819" s="77"/>
      <c r="S819" s="77"/>
      <c r="T819" s="77"/>
    </row>
    <row r="820" ht="12.75" customHeight="1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O820" s="77"/>
      <c r="S820" s="77"/>
      <c r="T820" s="77"/>
    </row>
    <row r="821" ht="12.75" customHeight="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O821" s="77"/>
      <c r="S821" s="77"/>
      <c r="T821" s="77"/>
    </row>
    <row r="822" ht="12.75" customHeight="1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O822" s="77"/>
      <c r="S822" s="77"/>
      <c r="T822" s="77"/>
    </row>
    <row r="823" ht="12.75" customHeight="1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O823" s="77"/>
      <c r="S823" s="77"/>
      <c r="T823" s="77"/>
    </row>
    <row r="824" ht="12.75" customHeight="1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O824" s="77"/>
      <c r="S824" s="77"/>
      <c r="T824" s="77"/>
    </row>
    <row r="825" ht="12.75" customHeight="1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O825" s="77"/>
      <c r="S825" s="77"/>
      <c r="T825" s="77"/>
    </row>
    <row r="826" ht="12.75" customHeight="1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O826" s="77"/>
      <c r="S826" s="77"/>
      <c r="T826" s="77"/>
    </row>
    <row r="827" ht="12.75" customHeight="1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O827" s="77"/>
      <c r="S827" s="77"/>
      <c r="T827" s="77"/>
    </row>
    <row r="828" ht="12.75" customHeight="1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O828" s="77"/>
      <c r="S828" s="77"/>
      <c r="T828" s="77"/>
    </row>
    <row r="829" ht="12.75" customHeight="1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O829" s="77"/>
      <c r="S829" s="77"/>
      <c r="T829" s="77"/>
    </row>
    <row r="830" ht="12.75" customHeight="1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O830" s="77"/>
      <c r="S830" s="77"/>
      <c r="T830" s="77"/>
    </row>
    <row r="831" ht="12.75" customHeight="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O831" s="77"/>
      <c r="S831" s="77"/>
      <c r="T831" s="77"/>
    </row>
    <row r="832" ht="12.75" customHeight="1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O832" s="77"/>
      <c r="S832" s="77"/>
      <c r="T832" s="77"/>
    </row>
    <row r="833" ht="12.75" customHeight="1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O833" s="77"/>
      <c r="S833" s="77"/>
      <c r="T833" s="77"/>
    </row>
    <row r="834" ht="12.75" customHeight="1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O834" s="77"/>
      <c r="S834" s="77"/>
      <c r="T834" s="77"/>
    </row>
    <row r="835" ht="12.75" customHeight="1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O835" s="77"/>
      <c r="S835" s="77"/>
      <c r="T835" s="77"/>
    </row>
    <row r="836" ht="12.75" customHeight="1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O836" s="77"/>
      <c r="S836" s="77"/>
      <c r="T836" s="77"/>
    </row>
    <row r="837" ht="12.75" customHeight="1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O837" s="77"/>
      <c r="S837" s="77"/>
      <c r="T837" s="77"/>
    </row>
    <row r="838" ht="12.75" customHeight="1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O838" s="77"/>
      <c r="S838" s="77"/>
      <c r="T838" s="77"/>
    </row>
    <row r="839" ht="12.75" customHeight="1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O839" s="77"/>
      <c r="S839" s="77"/>
      <c r="T839" s="77"/>
    </row>
    <row r="840" ht="12.75" customHeight="1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O840" s="77"/>
      <c r="S840" s="77"/>
      <c r="T840" s="77"/>
    </row>
    <row r="841" ht="12.75" customHeight="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O841" s="77"/>
      <c r="S841" s="77"/>
      <c r="T841" s="77"/>
    </row>
    <row r="842" ht="12.75" customHeight="1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O842" s="77"/>
      <c r="S842" s="77"/>
      <c r="T842" s="77"/>
    </row>
    <row r="843" ht="12.75" customHeight="1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O843" s="77"/>
      <c r="S843" s="77"/>
      <c r="T843" s="77"/>
    </row>
    <row r="844" ht="12.75" customHeight="1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O844" s="77"/>
      <c r="S844" s="77"/>
      <c r="T844" s="77"/>
    </row>
    <row r="845" ht="12.75" customHeight="1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O845" s="77"/>
      <c r="S845" s="77"/>
      <c r="T845" s="77"/>
    </row>
    <row r="846" ht="12.75" customHeight="1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O846" s="77"/>
      <c r="S846" s="77"/>
      <c r="T846" s="77"/>
    </row>
    <row r="847" ht="12.75" customHeight="1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O847" s="77"/>
      <c r="S847" s="77"/>
      <c r="T847" s="77"/>
    </row>
    <row r="848" ht="12.75" customHeight="1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O848" s="77"/>
      <c r="S848" s="77"/>
      <c r="T848" s="77"/>
    </row>
    <row r="849" ht="12.75" customHeight="1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O849" s="77"/>
      <c r="S849" s="77"/>
      <c r="T849" s="77"/>
    </row>
    <row r="850" ht="12.75" customHeight="1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O850" s="77"/>
      <c r="S850" s="77"/>
      <c r="T850" s="77"/>
    </row>
    <row r="851" ht="12.75" customHeight="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O851" s="77"/>
      <c r="S851" s="77"/>
      <c r="T851" s="77"/>
    </row>
    <row r="852" ht="12.75" customHeight="1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O852" s="77"/>
      <c r="S852" s="77"/>
      <c r="T852" s="77"/>
    </row>
    <row r="853" ht="12.75" customHeight="1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O853" s="77"/>
      <c r="S853" s="77"/>
      <c r="T853" s="77"/>
    </row>
    <row r="854" ht="12.75" customHeight="1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O854" s="77"/>
      <c r="S854" s="77"/>
      <c r="T854" s="77"/>
    </row>
    <row r="855" ht="12.75" customHeight="1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O855" s="77"/>
      <c r="S855" s="77"/>
      <c r="T855" s="77"/>
    </row>
    <row r="856" ht="12.75" customHeight="1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O856" s="77"/>
      <c r="S856" s="77"/>
      <c r="T856" s="77"/>
    </row>
    <row r="857" ht="12.75" customHeight="1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O857" s="77"/>
      <c r="S857" s="77"/>
      <c r="T857" s="77"/>
    </row>
    <row r="858" ht="12.75" customHeight="1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O858" s="77"/>
      <c r="S858" s="77"/>
      <c r="T858" s="77"/>
    </row>
    <row r="859" ht="12.75" customHeight="1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O859" s="77"/>
      <c r="S859" s="77"/>
      <c r="T859" s="77"/>
    </row>
    <row r="860" ht="12.75" customHeight="1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O860" s="77"/>
      <c r="S860" s="77"/>
      <c r="T860" s="77"/>
    </row>
    <row r="861" ht="12.75" customHeight="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O861" s="77"/>
      <c r="S861" s="77"/>
      <c r="T861" s="77"/>
    </row>
    <row r="862" ht="12.75" customHeight="1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O862" s="77"/>
      <c r="S862" s="77"/>
      <c r="T862" s="77"/>
    </row>
    <row r="863" ht="12.75" customHeight="1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O863" s="77"/>
      <c r="S863" s="77"/>
      <c r="T863" s="77"/>
    </row>
    <row r="864" ht="12.75" customHeight="1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O864" s="77"/>
      <c r="S864" s="77"/>
      <c r="T864" s="77"/>
    </row>
    <row r="865" ht="12.75" customHeight="1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O865" s="77"/>
      <c r="S865" s="77"/>
      <c r="T865" s="77"/>
    </row>
    <row r="866" ht="12.75" customHeight="1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O866" s="77"/>
      <c r="S866" s="77"/>
      <c r="T866" s="77"/>
    </row>
    <row r="867" ht="12.75" customHeight="1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O867" s="77"/>
      <c r="S867" s="77"/>
      <c r="T867" s="77"/>
    </row>
    <row r="868" ht="12.75" customHeight="1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O868" s="77"/>
      <c r="S868" s="77"/>
      <c r="T868" s="77"/>
    </row>
    <row r="869" ht="12.75" customHeight="1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O869" s="77"/>
      <c r="S869" s="77"/>
      <c r="T869" s="77"/>
    </row>
    <row r="870" ht="12.75" customHeight="1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O870" s="77"/>
      <c r="S870" s="77"/>
      <c r="T870" s="77"/>
    </row>
    <row r="871" ht="12.75" customHeight="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O871" s="77"/>
      <c r="S871" s="77"/>
      <c r="T871" s="77"/>
    </row>
    <row r="872" ht="12.75" customHeight="1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O872" s="77"/>
      <c r="S872" s="77"/>
      <c r="T872" s="77"/>
    </row>
    <row r="873" ht="12.75" customHeight="1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O873" s="77"/>
      <c r="S873" s="77"/>
      <c r="T873" s="77"/>
    </row>
    <row r="874" ht="12.75" customHeight="1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O874" s="77"/>
      <c r="S874" s="77"/>
      <c r="T874" s="77"/>
    </row>
    <row r="875" ht="12.75" customHeight="1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O875" s="77"/>
      <c r="S875" s="77"/>
      <c r="T875" s="77"/>
    </row>
    <row r="876" ht="12.75" customHeight="1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O876" s="77"/>
      <c r="S876" s="77"/>
      <c r="T876" s="77"/>
    </row>
    <row r="877" ht="12.75" customHeight="1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O877" s="77"/>
      <c r="S877" s="77"/>
      <c r="T877" s="77"/>
    </row>
    <row r="878" ht="12.75" customHeight="1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O878" s="77"/>
      <c r="S878" s="77"/>
      <c r="T878" s="77"/>
    </row>
    <row r="879" ht="12.75" customHeight="1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O879" s="77"/>
      <c r="S879" s="77"/>
      <c r="T879" s="77"/>
    </row>
    <row r="880" ht="12.75" customHeight="1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O880" s="77"/>
      <c r="S880" s="77"/>
      <c r="T880" s="77"/>
    </row>
    <row r="881" ht="12.75" customHeight="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O881" s="77"/>
      <c r="S881" s="77"/>
      <c r="T881" s="77"/>
    </row>
    <row r="882" ht="12.75" customHeight="1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O882" s="77"/>
      <c r="S882" s="77"/>
      <c r="T882" s="77"/>
    </row>
    <row r="883" ht="12.75" customHeight="1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O883" s="77"/>
      <c r="S883" s="77"/>
      <c r="T883" s="77"/>
    </row>
    <row r="884" ht="12.75" customHeight="1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O884" s="77"/>
      <c r="S884" s="77"/>
      <c r="T884" s="77"/>
    </row>
    <row r="885" ht="12.75" customHeight="1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O885" s="77"/>
      <c r="S885" s="77"/>
      <c r="T885" s="77"/>
    </row>
    <row r="886" ht="12.75" customHeight="1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O886" s="77"/>
      <c r="S886" s="77"/>
      <c r="T886" s="77"/>
    </row>
    <row r="887" ht="12.75" customHeight="1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O887" s="77"/>
      <c r="S887" s="77"/>
      <c r="T887" s="77"/>
    </row>
    <row r="888" ht="12.75" customHeight="1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O888" s="77"/>
      <c r="S888" s="77"/>
      <c r="T888" s="77"/>
    </row>
    <row r="889" ht="12.75" customHeight="1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O889" s="77"/>
      <c r="S889" s="77"/>
      <c r="T889" s="77"/>
    </row>
    <row r="890" ht="12.75" customHeight="1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O890" s="77"/>
      <c r="S890" s="77"/>
      <c r="T890" s="77"/>
    </row>
    <row r="891" ht="12.75" customHeight="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O891" s="77"/>
      <c r="S891" s="77"/>
      <c r="T891" s="77"/>
    </row>
    <row r="892" ht="12.75" customHeight="1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O892" s="77"/>
      <c r="S892" s="77"/>
      <c r="T892" s="77"/>
    </row>
    <row r="893" ht="12.75" customHeight="1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O893" s="77"/>
      <c r="S893" s="77"/>
      <c r="T893" s="77"/>
    </row>
    <row r="894" ht="12.75" customHeight="1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O894" s="77"/>
      <c r="S894" s="77"/>
      <c r="T894" s="77"/>
    </row>
    <row r="895" ht="12.75" customHeight="1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O895" s="77"/>
      <c r="S895" s="77"/>
      <c r="T895" s="77"/>
    </row>
    <row r="896" ht="12.75" customHeight="1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O896" s="77"/>
      <c r="S896" s="77"/>
      <c r="T896" s="77"/>
    </row>
    <row r="897" ht="12.75" customHeight="1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O897" s="77"/>
      <c r="S897" s="77"/>
      <c r="T897" s="77"/>
    </row>
    <row r="898" ht="12.75" customHeight="1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O898" s="77"/>
      <c r="S898" s="77"/>
      <c r="T898" s="77"/>
    </row>
    <row r="899" ht="12.75" customHeight="1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O899" s="77"/>
      <c r="S899" s="77"/>
      <c r="T899" s="77"/>
    </row>
    <row r="900" ht="12.75" customHeight="1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O900" s="77"/>
      <c r="S900" s="77"/>
      <c r="T900" s="77"/>
    </row>
    <row r="901" ht="12.75" customHeight="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O901" s="77"/>
      <c r="S901" s="77"/>
      <c r="T901" s="77"/>
    </row>
    <row r="902" ht="12.75" customHeight="1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O902" s="77"/>
      <c r="S902" s="77"/>
      <c r="T902" s="77"/>
    </row>
    <row r="903" ht="12.75" customHeight="1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O903" s="77"/>
      <c r="S903" s="77"/>
      <c r="T903" s="77"/>
    </row>
    <row r="904" ht="12.75" customHeight="1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O904" s="77"/>
      <c r="S904" s="77"/>
      <c r="T904" s="77"/>
    </row>
    <row r="905" ht="12.75" customHeight="1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O905" s="77"/>
      <c r="S905" s="77"/>
      <c r="T905" s="77"/>
    </row>
    <row r="906" ht="12.75" customHeight="1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O906" s="77"/>
      <c r="S906" s="77"/>
      <c r="T906" s="77"/>
    </row>
    <row r="907" ht="12.75" customHeight="1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O907" s="77"/>
      <c r="S907" s="77"/>
      <c r="T907" s="77"/>
    </row>
    <row r="908" ht="12.75" customHeight="1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O908" s="77"/>
      <c r="S908" s="77"/>
      <c r="T908" s="77"/>
    </row>
    <row r="909" ht="12.75" customHeight="1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O909" s="77"/>
      <c r="S909" s="77"/>
      <c r="T909" s="77"/>
    </row>
    <row r="910" ht="12.75" customHeight="1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O910" s="77"/>
      <c r="S910" s="77"/>
      <c r="T910" s="77"/>
    </row>
    <row r="911" ht="12.75" customHeight="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O911" s="77"/>
      <c r="S911" s="77"/>
      <c r="T911" s="77"/>
    </row>
    <row r="912" ht="12.75" customHeight="1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O912" s="77"/>
      <c r="S912" s="77"/>
      <c r="T912" s="77"/>
    </row>
    <row r="913" ht="12.75" customHeight="1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O913" s="77"/>
      <c r="S913" s="77"/>
      <c r="T913" s="77"/>
    </row>
    <row r="914" ht="12.75" customHeight="1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O914" s="77"/>
      <c r="S914" s="77"/>
      <c r="T914" s="77"/>
    </row>
    <row r="915" ht="12.75" customHeight="1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O915" s="77"/>
      <c r="S915" s="77"/>
      <c r="T915" s="77"/>
    </row>
    <row r="916" ht="12.75" customHeight="1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O916" s="77"/>
      <c r="S916" s="77"/>
      <c r="T916" s="77"/>
    </row>
    <row r="917" ht="12.75" customHeight="1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O917" s="77"/>
      <c r="S917" s="77"/>
      <c r="T917" s="77"/>
    </row>
    <row r="918" ht="12.75" customHeight="1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O918" s="77"/>
      <c r="S918" s="77"/>
      <c r="T918" s="77"/>
    </row>
    <row r="919" ht="12.75" customHeight="1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O919" s="77"/>
      <c r="S919" s="77"/>
      <c r="T919" s="77"/>
    </row>
    <row r="920" ht="12.75" customHeight="1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O920" s="77"/>
      <c r="S920" s="77"/>
      <c r="T920" s="77"/>
    </row>
    <row r="921" ht="12.75" customHeight="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O921" s="77"/>
      <c r="S921" s="77"/>
      <c r="T921" s="77"/>
    </row>
    <row r="922" ht="12.75" customHeight="1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O922" s="77"/>
      <c r="S922" s="77"/>
      <c r="T922" s="77"/>
    </row>
    <row r="923" ht="12.75" customHeight="1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O923" s="77"/>
      <c r="S923" s="77"/>
      <c r="T923" s="77"/>
    </row>
    <row r="924" ht="12.75" customHeight="1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O924" s="77"/>
      <c r="S924" s="77"/>
      <c r="T924" s="77"/>
    </row>
    <row r="925" ht="12.75" customHeight="1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O925" s="77"/>
      <c r="S925" s="77"/>
      <c r="T925" s="77"/>
    </row>
    <row r="926" ht="12.75" customHeight="1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O926" s="77"/>
      <c r="S926" s="77"/>
      <c r="T926" s="77"/>
    </row>
    <row r="927" ht="12.75" customHeight="1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O927" s="77"/>
      <c r="S927" s="77"/>
      <c r="T927" s="77"/>
    </row>
    <row r="928" ht="12.75" customHeight="1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O928" s="77"/>
      <c r="S928" s="77"/>
      <c r="T928" s="77"/>
    </row>
    <row r="929" ht="12.75" customHeight="1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O929" s="77"/>
      <c r="S929" s="77"/>
      <c r="T929" s="77"/>
    </row>
    <row r="930" ht="12.75" customHeight="1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O930" s="77"/>
      <c r="S930" s="77"/>
      <c r="T930" s="77"/>
    </row>
    <row r="931" ht="12.75" customHeight="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O931" s="77"/>
      <c r="S931" s="77"/>
      <c r="T931" s="77"/>
    </row>
    <row r="932" ht="12.75" customHeight="1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O932" s="77"/>
      <c r="S932" s="77"/>
      <c r="T932" s="77"/>
    </row>
    <row r="933" ht="12.75" customHeight="1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O933" s="77"/>
      <c r="S933" s="77"/>
      <c r="T933" s="77"/>
    </row>
    <row r="934" ht="12.75" customHeight="1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O934" s="77"/>
      <c r="S934" s="77"/>
      <c r="T934" s="77"/>
    </row>
    <row r="935" ht="12.75" customHeight="1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O935" s="77"/>
      <c r="S935" s="77"/>
      <c r="T935" s="77"/>
    </row>
    <row r="936" ht="12.75" customHeight="1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O936" s="77"/>
      <c r="S936" s="77"/>
      <c r="T936" s="77"/>
    </row>
    <row r="937" ht="12.75" customHeight="1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O937" s="77"/>
      <c r="S937" s="77"/>
      <c r="T937" s="77"/>
    </row>
    <row r="938" ht="12.75" customHeight="1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O938" s="77"/>
      <c r="S938" s="77"/>
      <c r="T938" s="77"/>
    </row>
    <row r="939" ht="12.75" customHeight="1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O939" s="77"/>
      <c r="S939" s="77"/>
      <c r="T939" s="77"/>
    </row>
    <row r="940" ht="12.75" customHeight="1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O940" s="77"/>
      <c r="S940" s="77"/>
      <c r="T940" s="77"/>
    </row>
    <row r="941" ht="12.75" customHeight="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O941" s="77"/>
      <c r="S941" s="77"/>
      <c r="T941" s="77"/>
    </row>
    <row r="942" ht="12.75" customHeight="1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O942" s="77"/>
      <c r="S942" s="77"/>
      <c r="T942" s="77"/>
    </row>
    <row r="943" ht="12.75" customHeight="1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O943" s="77"/>
      <c r="S943" s="77"/>
      <c r="T943" s="77"/>
    </row>
    <row r="944" ht="12.75" customHeight="1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O944" s="77"/>
      <c r="S944" s="77"/>
      <c r="T944" s="77"/>
    </row>
    <row r="945" ht="12.75" customHeight="1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O945" s="77"/>
      <c r="S945" s="77"/>
      <c r="T945" s="77"/>
    </row>
    <row r="946" ht="12.75" customHeight="1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O946" s="77"/>
      <c r="S946" s="77"/>
      <c r="T946" s="77"/>
    </row>
    <row r="947" ht="12.75" customHeight="1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O947" s="77"/>
      <c r="S947" s="77"/>
      <c r="T947" s="77"/>
    </row>
    <row r="948" ht="12.75" customHeight="1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O948" s="77"/>
      <c r="S948" s="77"/>
      <c r="T948" s="77"/>
    </row>
    <row r="949" ht="12.75" customHeight="1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O949" s="77"/>
      <c r="S949" s="77"/>
      <c r="T949" s="77"/>
    </row>
    <row r="950" ht="12.75" customHeight="1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O950" s="77"/>
      <c r="S950" s="77"/>
      <c r="T950" s="77"/>
    </row>
    <row r="951" ht="12.75" customHeight="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O951" s="77"/>
      <c r="S951" s="77"/>
      <c r="T951" s="77"/>
    </row>
    <row r="952" ht="12.75" customHeight="1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O952" s="77"/>
      <c r="S952" s="77"/>
      <c r="T952" s="77"/>
    </row>
    <row r="953" ht="12.75" customHeight="1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O953" s="77"/>
      <c r="S953" s="77"/>
      <c r="T953" s="77"/>
    </row>
    <row r="954" ht="12.75" customHeight="1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O954" s="77"/>
      <c r="S954" s="77"/>
      <c r="T954" s="77"/>
    </row>
    <row r="955" ht="12.75" customHeight="1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O955" s="77"/>
      <c r="S955" s="77"/>
      <c r="T955" s="77"/>
    </row>
    <row r="956" ht="12.75" customHeight="1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O956" s="77"/>
      <c r="S956" s="77"/>
      <c r="T956" s="77"/>
    </row>
    <row r="957" ht="12.75" customHeight="1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O957" s="77"/>
      <c r="S957" s="77"/>
      <c r="T957" s="77"/>
    </row>
    <row r="958" ht="12.75" customHeight="1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O958" s="77"/>
      <c r="S958" s="77"/>
      <c r="T958" s="77"/>
    </row>
    <row r="959" ht="12.75" customHeight="1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O959" s="77"/>
      <c r="S959" s="77"/>
      <c r="T959" s="77"/>
    </row>
    <row r="960" ht="12.75" customHeight="1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O960" s="77"/>
      <c r="S960" s="77"/>
      <c r="T960" s="77"/>
    </row>
    <row r="961" ht="12.75" customHeight="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O961" s="77"/>
      <c r="S961" s="77"/>
      <c r="T961" s="77"/>
    </row>
    <row r="962" ht="12.75" customHeight="1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O962" s="77"/>
      <c r="S962" s="77"/>
      <c r="T962" s="77"/>
    </row>
    <row r="963" ht="12.75" customHeight="1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O963" s="77"/>
      <c r="S963" s="77"/>
      <c r="T963" s="77"/>
    </row>
    <row r="964" ht="12.75" customHeight="1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O964" s="77"/>
      <c r="S964" s="77"/>
      <c r="T964" s="77"/>
    </row>
    <row r="965" ht="12.75" customHeight="1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O965" s="77"/>
      <c r="S965" s="77"/>
      <c r="T965" s="77"/>
    </row>
    <row r="966" ht="12.75" customHeight="1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O966" s="77"/>
      <c r="S966" s="77"/>
      <c r="T966" s="77"/>
    </row>
    <row r="967" ht="12.75" customHeight="1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O967" s="77"/>
      <c r="S967" s="77"/>
      <c r="T967" s="77"/>
    </row>
    <row r="968" ht="12.75" customHeight="1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O968" s="77"/>
      <c r="S968" s="77"/>
      <c r="T968" s="77"/>
    </row>
    <row r="969" ht="12.75" customHeight="1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O969" s="77"/>
      <c r="S969" s="77"/>
      <c r="T969" s="77"/>
    </row>
    <row r="970" ht="12.75" customHeight="1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O970" s="77"/>
      <c r="S970" s="77"/>
      <c r="T970" s="77"/>
    </row>
    <row r="971" ht="12.75" customHeight="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O971" s="77"/>
      <c r="S971" s="77"/>
      <c r="T971" s="77"/>
    </row>
    <row r="972" ht="12.75" customHeight="1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O972" s="77"/>
      <c r="S972" s="77"/>
      <c r="T972" s="77"/>
    </row>
    <row r="973" ht="12.75" customHeight="1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O973" s="77"/>
      <c r="S973" s="77"/>
      <c r="T973" s="77"/>
    </row>
    <row r="974" ht="12.75" customHeight="1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O974" s="77"/>
      <c r="S974" s="77"/>
      <c r="T974" s="77"/>
    </row>
    <row r="975" ht="12.75" customHeight="1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O975" s="77"/>
      <c r="S975" s="77"/>
      <c r="T975" s="77"/>
    </row>
    <row r="976" ht="12.75" customHeight="1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O976" s="77"/>
      <c r="S976" s="77"/>
      <c r="T976" s="77"/>
    </row>
    <row r="977" ht="12.75" customHeight="1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O977" s="77"/>
      <c r="S977" s="77"/>
      <c r="T977" s="77"/>
    </row>
    <row r="978" ht="12.75" customHeight="1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O978" s="77"/>
      <c r="S978" s="77"/>
      <c r="T978" s="77"/>
    </row>
    <row r="979" ht="12.75" customHeight="1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O979" s="77"/>
      <c r="S979" s="77"/>
      <c r="T979" s="77"/>
    </row>
    <row r="980" ht="12.75" customHeight="1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O980" s="77"/>
      <c r="S980" s="77"/>
      <c r="T980" s="77"/>
    </row>
    <row r="981" ht="12.75" customHeight="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O981" s="77"/>
      <c r="S981" s="77"/>
      <c r="T981" s="77"/>
    </row>
    <row r="982" ht="12.75" customHeight="1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O982" s="77"/>
      <c r="S982" s="77"/>
      <c r="T982" s="77"/>
    </row>
    <row r="983" ht="12.75" customHeight="1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O983" s="77"/>
      <c r="S983" s="77"/>
      <c r="T983" s="77"/>
    </row>
    <row r="984" ht="12.75" customHeight="1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O984" s="77"/>
      <c r="S984" s="77"/>
      <c r="T984" s="77"/>
    </row>
    <row r="985" ht="12.75" customHeight="1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O985" s="77"/>
      <c r="S985" s="77"/>
      <c r="T985" s="77"/>
    </row>
    <row r="986" ht="12.75" customHeight="1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O986" s="77"/>
      <c r="S986" s="77"/>
      <c r="T986" s="77"/>
    </row>
    <row r="987" ht="12.75" customHeight="1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O987" s="77"/>
      <c r="S987" s="77"/>
      <c r="T987" s="77"/>
    </row>
    <row r="988" ht="12.75" customHeight="1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O988" s="77"/>
      <c r="S988" s="77"/>
      <c r="T988" s="77"/>
    </row>
    <row r="989" ht="12.75" customHeight="1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O989" s="77"/>
      <c r="S989" s="77"/>
      <c r="T989" s="77"/>
    </row>
    <row r="990" ht="12.75" customHeight="1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O990" s="77"/>
      <c r="S990" s="77"/>
      <c r="T990" s="77"/>
    </row>
    <row r="991" ht="12.75" customHeight="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O991" s="77"/>
      <c r="S991" s="77"/>
      <c r="T991" s="77"/>
    </row>
    <row r="992" ht="12.75" customHeight="1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O992" s="77"/>
      <c r="S992" s="77"/>
      <c r="T992" s="77"/>
    </row>
    <row r="993" ht="12.75" customHeight="1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O993" s="77"/>
      <c r="S993" s="77"/>
      <c r="T993" s="77"/>
    </row>
    <row r="994" ht="12.75" customHeight="1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O994" s="77"/>
      <c r="S994" s="77"/>
      <c r="T994" s="77"/>
    </row>
    <row r="995" ht="12.75" customHeight="1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O995" s="77"/>
      <c r="S995" s="77"/>
      <c r="T995" s="77"/>
    </row>
    <row r="996" ht="12.75" customHeight="1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O996" s="77"/>
      <c r="S996" s="77"/>
      <c r="T996" s="77"/>
    </row>
    <row r="997" ht="12.75" customHeight="1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O997" s="77"/>
      <c r="S997" s="77"/>
      <c r="T997" s="77"/>
    </row>
    <row r="998" ht="12.75" customHeight="1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O998" s="77"/>
      <c r="S998" s="77"/>
      <c r="T998" s="77"/>
    </row>
    <row r="999" ht="12.75" customHeight="1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O999" s="77"/>
      <c r="S999" s="77"/>
      <c r="T999" s="77"/>
    </row>
    <row r="1000" ht="12.75" customHeight="1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O1000" s="77"/>
      <c r="S1000" s="77"/>
      <c r="T1000" s="77"/>
    </row>
  </sheetData>
  <mergeCells count="11">
    <mergeCell ref="H19:I19"/>
    <mergeCell ref="L19:M19"/>
    <mergeCell ref="P19:Q19"/>
    <mergeCell ref="S19:T19"/>
    <mergeCell ref="A1:T1"/>
    <mergeCell ref="A18:C18"/>
    <mergeCell ref="D18:F18"/>
    <mergeCell ref="G18:I18"/>
    <mergeCell ref="J18:M18"/>
    <mergeCell ref="N18:Q18"/>
    <mergeCell ref="R18:T1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2001-09-05T21:30:38Z</dcterms:created>
  <dc:creator>Jorge De Velazco</dc:creator>
</cp:coreProperties>
</file>